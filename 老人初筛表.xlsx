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填写版" sheetId="1" r:id="rId1"/>
    <sheet name="字典" sheetId="2" r:id="rId2"/>
    <sheet name="评分规则" sheetId="3" r:id="rId3"/>
    <sheet name="产品字段" sheetId="4" r:id="rId4"/>
    <sheet name="证据与合规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OpenAI</author>
  </authors>
  <commentList>
    <comment ref="A2" authorId="0">
      <text>
        <r>
          <rPr>
            <sz val="10"/>
            <rFont val="宋体"/>
            <charset val="134"/>
          </rPr>
          <t>产品前端应显示为原创题面，不直接使用第三方受保护量表名称或原始版式。</t>
        </r>
      </text>
    </comment>
  </commentList>
</comments>
</file>

<file path=xl/sharedStrings.xml><?xml version="1.0" encoding="utf-8"?>
<sst xmlns="http://schemas.openxmlformats.org/spreadsheetml/2006/main" count="560" uniqueCount="382">
  <si>
    <t>社区居家老人初筛表（产品版 V1.0）</t>
  </si>
  <si>
    <t>本工具用于社区居家老人初筛与服务分流，不代替医生诊断</t>
  </si>
  <si>
    <t>一、基本信息（不计分）</t>
  </si>
  <si>
    <t>自动结果汇总</t>
  </si>
  <si>
    <t>姓名</t>
  </si>
  <si>
    <t>性别</t>
  </si>
  <si>
    <t>年龄</t>
  </si>
  <si>
    <t>评估日期</t>
  </si>
  <si>
    <t>阳性域数</t>
  </si>
  <si>
    <t>联系电话</t>
  </si>
  <si>
    <t>居住方式</t>
  </si>
  <si>
    <t>主要照护者</t>
  </si>
  <si>
    <t>现用药数量</t>
  </si>
  <si>
    <t>重度域数</t>
  </si>
  <si>
    <t>近1年住院史</t>
  </si>
  <si>
    <t>近1年跌倒史</t>
  </si>
  <si>
    <t>辅助器具</t>
  </si>
  <si>
    <t>主要诉求</t>
  </si>
  <si>
    <t>触发项数</t>
  </si>
  <si>
    <t>服务分层</t>
  </si>
  <si>
    <t>建议动作</t>
  </si>
  <si>
    <t>模块</t>
  </si>
  <si>
    <t>编号</t>
  </si>
  <si>
    <t>题目/操作</t>
  </si>
  <si>
    <t>输入说明</t>
  </si>
  <si>
    <t>输入值</t>
  </si>
  <si>
    <t>自动分值/记录</t>
  </si>
  <si>
    <t>域分/触发</t>
  </si>
  <si>
    <t>备注</t>
  </si>
  <si>
    <t>1.基础自理</t>
  </si>
  <si>
    <t>1.1</t>
  </si>
  <si>
    <t>过去7天，吃饭是否可不靠他人直接身体帮助完成？</t>
  </si>
  <si>
    <t>每小项：独立=0；需要提醒/准备=1；需要身体帮助=2。</t>
  </si>
  <si>
    <t>独立</t>
  </si>
  <si>
    <t>域分≥1
≥2=重度</t>
  </si>
  <si>
    <t>ADL（Activities of daily living）  是老年功能状态核心内容；基础任务通常包括进食、穿衣、洗澡、如厕、转移和活动</t>
  </si>
  <si>
    <t>1分：开始出现洗澡、穿衣、如厕、转移等方面的小依赖
2分：已有明确身体帮助需求，说明照护负担会上升</t>
  </si>
  <si>
    <t>1.2</t>
  </si>
  <si>
    <t>过去7天，穿衣是否可不靠他人直接身体帮助完成？</t>
  </si>
  <si>
    <t>1.3</t>
  </si>
  <si>
    <t>过去7天，洗澡/擦浴是否可不靠他人直接身体帮助完成？</t>
  </si>
  <si>
    <t>1.4</t>
  </si>
  <si>
    <t>过去7天，如厕及清洁是否可不靠他人直接身体帮助完成？</t>
  </si>
  <si>
    <t>1.5</t>
  </si>
  <si>
    <t>过去7天，从床/椅起身是否可不靠他人直接身体帮助完成？</t>
  </si>
  <si>
    <t>1.6</t>
  </si>
  <si>
    <t>过去7天，在室内走动是否可不靠他人直接身体帮助完成？</t>
  </si>
  <si>
    <t>1.S</t>
  </si>
  <si>
    <t>基础自理域小结</t>
  </si>
  <si>
    <t>系统自动计算</t>
  </si>
  <si>
    <t>2.社区生活能力</t>
  </si>
  <si>
    <t>2.1</t>
  </si>
  <si>
    <t>过去30天，是否能独立管理日常用药？</t>
  </si>
  <si>
    <t>每小项：独立=0；部分依赖/需要提醒=1；不能独立=2。域分：0=全部独立；</t>
  </si>
  <si>
    <t>IADL （Instrumental activities of daily living）反映社区独立生活能力，核心领域包括做饭、清洁、交通、财务和用药管理。</t>
  </si>
  <si>
    <t>1分：还能生活，但在用药、购物、交通、手机求助等方面开始不稳
2分：独立生活能力已明显下降，尤其要警惕用药和财务安全</t>
  </si>
  <si>
    <t>2.2</t>
  </si>
  <si>
    <t>过去30天，是否能独立管理现金/支付？</t>
  </si>
  <si>
    <t>2.3</t>
  </si>
  <si>
    <t>过去30天，是否能独立购买日用品或食材？</t>
  </si>
  <si>
    <t>2.4</t>
  </si>
  <si>
    <t>过去30天，是否能独立准备简单饭食？</t>
  </si>
  <si>
    <t>2.5</t>
  </si>
  <si>
    <t>过去30天，是否能独立外出或安排交通？</t>
  </si>
  <si>
    <t>2.6</t>
  </si>
  <si>
    <t>过去30天，是否能用电话/手机主动求助？</t>
  </si>
  <si>
    <t>2.S</t>
  </si>
  <si>
    <t>社区生活能力域小结</t>
  </si>
  <si>
    <t>3.跌倒与移动</t>
  </si>
  <si>
    <t>3.1</t>
  </si>
  <si>
    <t>过去1年跌倒次数</t>
  </si>
  <si>
    <t>输入数字，例如 0、1、2</t>
  </si>
  <si>
    <t>CDC STEADI 把“三个关键问题”作为初筛入口；WHO ICOPE 把“5次起立 &gt;14秒/不能完成”作为移动受限的进一步评估触发条件</t>
  </si>
  <si>
    <t>1分：已经有跌倒苗头或移动能力下降
2分：高跌倒风险，属于优先处理项</t>
  </si>
  <si>
    <t>3.2</t>
  </si>
  <si>
    <t>过去1年是否发生过受伤跌倒？</t>
  </si>
  <si>
    <t>是/否</t>
  </si>
  <si>
    <t>是</t>
  </si>
  <si>
    <t>3.3</t>
  </si>
  <si>
    <t>站立或走路时是否觉得不稳？</t>
  </si>
  <si>
    <t>否</t>
  </si>
  <si>
    <t>3.4</t>
  </si>
  <si>
    <t>是否担心跌倒？</t>
  </si>
  <si>
    <t>3.5</t>
  </si>
  <si>
    <t>5次起立耗时（秒）</t>
  </si>
  <si>
    <t>5次起立＞14秒</t>
  </si>
  <si>
    <t>3.6</t>
  </si>
  <si>
    <t>是否无法安全完成5次起立？</t>
  </si>
  <si>
    <t>3.S</t>
  </si>
  <si>
    <t>跌倒与移动域小结</t>
  </si>
  <si>
    <t>4.记忆与定向</t>
  </si>
  <si>
    <t>4.1</t>
  </si>
  <si>
    <t>日期是否正确？</t>
  </si>
  <si>
    <t>WHO ICOPE 的认知初筛采用时间/地点定向 + 3词延迟回忆。</t>
  </si>
  <si>
    <t xml:space="preserve">先告诉老人3个常见词并要求复述；再问“今天的完整日期”“现在在哪里”；约1分钟后请其回忆刚才3个词。
</t>
  </si>
  <si>
    <t>1分：有早期认知风险
2分：认知/定向问题比较明确，已影响安全判断</t>
  </si>
  <si>
    <t>4.2</t>
  </si>
  <si>
    <t>地点是否正确？</t>
  </si>
  <si>
    <t>4.3</t>
  </si>
  <si>
    <t>延迟回忆词数</t>
  </si>
  <si>
    <t>输入 0、1、2、3</t>
  </si>
  <si>
    <t>4.S</t>
  </si>
  <si>
    <t>记忆与定向域小结</t>
  </si>
  <si>
    <t>5.营养风险</t>
  </si>
  <si>
    <t>5.1</t>
  </si>
  <si>
    <t>过去3个月是否非故意减重超过3公斤？</t>
  </si>
  <si>
    <t>WHO ICOPE 的营养初筛就是这两类问题，其中“3个月非故意减重&gt;3kg”是明确触发条件</t>
  </si>
  <si>
    <t>1分：多为食欲下降期
2分：已经出现明确非意愿性体重下降，优先级高</t>
  </si>
  <si>
    <t>5.2</t>
  </si>
  <si>
    <t>过去3个月是否出现明显食欲下降？</t>
  </si>
  <si>
    <t>5.S</t>
  </si>
  <si>
    <t>营养风险域小结</t>
  </si>
  <si>
    <t>6.视听功能</t>
  </si>
  <si>
    <t>6.1</t>
  </si>
  <si>
    <t>近1个月，视力问题是否影响看远、看近、阅读药盒/账单等日常活动？</t>
  </si>
  <si>
    <t>每小项：无明显影响=0；轻度影响=1；明显影响=2。</t>
  </si>
  <si>
    <t>无明显影响</t>
  </si>
  <si>
    <t>WHO ICOPE 把视力、听力列为核心内在能力域，并建议社区常规筛查；听力可用耳语试验等简易方法。</t>
  </si>
  <si>
    <t>视听下降会放大跌倒风险、社交退缩和认知误判</t>
  </si>
  <si>
    <t>6.2</t>
  </si>
  <si>
    <t>近1个月，听力问题是否影响日常对话或接收信息？</t>
  </si>
  <si>
    <t>轻度影响</t>
  </si>
  <si>
    <t>6.S</t>
  </si>
  <si>
    <t>视听功能域小结</t>
  </si>
  <si>
    <t>7.情绪状态</t>
  </si>
  <si>
    <t>7.1</t>
  </si>
  <si>
    <t>过去2周，是否经常感到情绪低落、沮丧或没有希望？</t>
  </si>
  <si>
    <t>WHO 的老年心理能力路径把持续至少2周的两项以上抑郁症状作为重要识别点。</t>
  </si>
  <si>
    <t>1分：可能存在情绪低落趋势
2分：情绪问题更明确，已需要进一步关注</t>
  </si>
  <si>
    <t>7.2</t>
  </si>
  <si>
    <t>过去2周，是否明显对平时喜欢的事情失去兴趣或乐趣？</t>
  </si>
  <si>
    <t>7.S</t>
  </si>
  <si>
    <t>情绪状态域小结</t>
  </si>
  <si>
    <t>8.服务触发项</t>
  </si>
  <si>
    <t>T1</t>
  </si>
  <si>
    <t>目前每天长期服用的药物、保健品或外用药合计是否≥5种，或最近1个月刚调整过会影响头晕/睡眠/精神状态的药？</t>
  </si>
  <si>
    <t>是/否
≥5种”是老年多重用药最常用定义之一；CDC 也把与跌倒相关药物审查列入 STEADI 评估</t>
  </si>
  <si>
    <t>不并入总分，单独记录</t>
  </si>
  <si>
    <t>存在药物相关风险，可能影响头晕、睡眠、精神状态或跌倒</t>
  </si>
  <si>
    <t>药物核对; 药师/医生复核; 特别看镇静、降压、助眠、抗胆碱类相关风险</t>
  </si>
  <si>
    <t>T2</t>
  </si>
  <si>
    <t>最近1个月，起床或起立后是否出现明显头晕、眼前发黑或差点晕倒？</t>
  </si>
  <si>
    <t>是/否
CDC STEADI 将直立性低血压纳入跌倒相关评估；站立后收缩压下降≥20 mmHg或舒张压下降≥10 mmHg属异常。</t>
  </si>
  <si>
    <t>存在体位性不适风险，可能与跌倒直接相关。</t>
  </si>
  <si>
    <t>卧立位血压
看脱水、进食不足、药物影响</t>
  </si>
  <si>
    <t>T3</t>
  </si>
  <si>
    <t>如遇突发情况，24小时内是否没有家人/朋友/邻里可到场帮助？</t>
  </si>
  <si>
    <t>是/否
WHO ICOPE 第二版强调识别社会照护与支持需求，包括安全居住、社区参与和照护安排</t>
  </si>
  <si>
    <t>存在社会支持断裂风险，居家安全保障不足</t>
  </si>
  <si>
    <t>紧急联系人
社区资源/社工介入</t>
  </si>
  <si>
    <t>T4</t>
  </si>
  <si>
    <t>家中是否存在松动地垫/杂物绊倒、照明差、台阶不平、浴室易滑、厕所/浴室缺少扶手等重大或多项危险？</t>
  </si>
  <si>
    <t>是/否
CDC 的老年跌倒预防材料把上述家居危险作为重点排查对象。</t>
  </si>
  <si>
    <t>存在明确环境风险，尤其与跌倒相关。</t>
  </si>
  <si>
    <t>去杂物、防滑、扶手、照明、床边动线优化
这个通常很适合上门干预</t>
  </si>
  <si>
    <t>T5</t>
  </si>
  <si>
    <t>近1个月，是否每周至少1次漏尿，并因此减少外出、社交或活动？</t>
  </si>
  <si>
    <t>是/否
WHO ICOPE 把尿失禁列为需要识别和管理的重要问题，且其会影响自尊、社交参与和功能。</t>
  </si>
  <si>
    <t>失禁已影响生活参与和尊严感。</t>
  </si>
  <si>
    <t>失禁评估
如厕计划、吸收用品、盆底/泌尿相关建议</t>
  </si>
  <si>
    <t>T6</t>
  </si>
  <si>
    <t>主要照护者是否明确表示照顾吃力、难以持续，或自己的健康已受影响？</t>
  </si>
  <si>
    <t>是/否
WHO ICOPE 单独设置 caregiver support 模块，强调识别照护者健康、社会和支持需求</t>
  </si>
  <si>
    <t>风险不仅在老人本人，也在照护系统稳定性</t>
  </si>
  <si>
    <t>照护者支持
喘息服务; 家庭内重新分工</t>
  </si>
  <si>
    <t>T.S</t>
  </si>
  <si>
    <t>触发项汇总</t>
  </si>
  <si>
    <t>系统自动统计</t>
  </si>
  <si>
    <t>触发项合计</t>
  </si>
  <si>
    <t>初筛结论： 共发现 X 个阳性域，其中 Y 个重度域；服务触发项 Z 项。
主要风险： 当前问题主要集中在【跌倒与移动/记忆与定向/营养风险/基础自理……】。
功能判断： 目前对【基础自理/独立生活/居家安全/社会支持】的影响程度为【轻度/中度/较重】。
建议： 建议于【时间窗口】内完成【进一步评估/家访/营养干预/认知评估/家居改造/照护者支持】</t>
  </si>
  <si>
    <t>无</t>
  </si>
  <si>
    <t>需提醒/准备</t>
  </si>
  <si>
    <t>部分依赖/需提醒</t>
  </si>
  <si>
    <t>1人</t>
  </si>
  <si>
    <t>有</t>
  </si>
  <si>
    <t>需身体帮助</t>
  </si>
  <si>
    <t>不能独立</t>
  </si>
  <si>
    <t>明显影响</t>
  </si>
  <si>
    <t>2人</t>
  </si>
  <si>
    <t>3-4人</t>
  </si>
  <si>
    <t>5-8人</t>
  </si>
  <si>
    <t>≥9人</t>
  </si>
  <si>
    <t>评分规则与结果解释</t>
  </si>
  <si>
    <t>域分定义</t>
  </si>
  <si>
    <t>阳性判定</t>
  </si>
  <si>
    <t>建议后续动作</t>
  </si>
  <si>
    <t>前端展示建议</t>
  </si>
  <si>
    <t>基础自理</t>
  </si>
  <si>
    <t>0=全部独立；1=任1项需提醒/准备；2=任1项需身体帮助，或≥2项需提醒/准备</t>
  </si>
  <si>
    <t>域分≥1</t>
  </si>
  <si>
    <t>评估居家照护支持、辅具、康复</t>
  </si>
  <si>
    <t>报告时写明具体失分项，不只写总分</t>
  </si>
  <si>
    <t>聚焦近7天实际表现</t>
  </si>
  <si>
    <t>社区生活能力</t>
  </si>
  <si>
    <t>0=全部独立；1=任1项部分依赖；2=任1项不能独立，或≥2项部分依赖</t>
  </si>
  <si>
    <t>评估用药管理、财务安全、出行支持</t>
  </si>
  <si>
    <t>建议单列药物管理和交通失分项</t>
  </si>
  <si>
    <t>聚焦过去30天常态</t>
  </si>
  <si>
    <t>跌倒与移动</t>
  </si>
  <si>
    <t>0=三问均否且5次起立≤14秒；1=三问任1项是或5次起立&gt;14秒；2=跌倒≥2次/有伤跌倒/不能安全完成5次起立</t>
  </si>
  <si>
    <t>建议做进一步跌倒评估、家居安全检查</t>
  </si>
  <si>
    <t>前端突出显示“高跌倒风险”</t>
  </si>
  <si>
    <t>与触发项T2/T4联动</t>
  </si>
  <si>
    <t>记忆与定向</t>
  </si>
  <si>
    <t>0=日期地点均正确且回忆2-3词；1=日期/地点错1项或仅回忆1词；2=日期/地点错≥2项或0词回忆</t>
  </si>
  <si>
    <t>建议做正式认知评估或转介</t>
  </si>
  <si>
    <t>前端避免使用具体受保护量表名称</t>
  </si>
  <si>
    <t>为产品原创认知入口题</t>
  </si>
  <si>
    <t>营养风险</t>
  </si>
  <si>
    <t>0=无减重且无食欲下降；1=仅食欲下降；2=存在非故意减重&gt;3kg</t>
  </si>
  <si>
    <t>建议做营养评估与干预</t>
  </si>
  <si>
    <t>前端突出“近期体重变化”</t>
  </si>
  <si>
    <t>不直接复刻MNA题面</t>
  </si>
  <si>
    <t>视听功能</t>
  </si>
  <si>
    <t>0=视听均无明显影响；1=任一轻度影响；2=任一明显影响或两者均受影响</t>
  </si>
  <si>
    <t>建议视力/听力进一步检查</t>
  </si>
  <si>
    <t>可在产品中分开展示视力与听力结果</t>
  </si>
  <si>
    <t>简化为生活影响表达</t>
  </si>
  <si>
    <t>情绪状态</t>
  </si>
  <si>
    <t>0=两项都否；1=任1项是；2=两项都是</t>
  </si>
  <si>
    <t>建议心理支持或进一步评估</t>
  </si>
  <si>
    <t>前端避免声称诊断抑郁</t>
  </si>
  <si>
    <t>仅作风险识别</t>
  </si>
  <si>
    <t>触发项</t>
  </si>
  <si>
    <t>不并入总分，仅用于服务分流</t>
  </si>
  <si>
    <t>任一“是”即触发</t>
  </si>
  <si>
    <t>按项转介：药师/医生/社工/居家改造/失禁管理/照护者支持</t>
  </si>
  <si>
    <t>可做红旗提醒</t>
  </si>
  <si>
    <t>建议与服务工单系统对接</t>
  </si>
  <si>
    <t>产品字段映射（供开发/后台配置）</t>
  </si>
  <si>
    <t>字段编码</t>
  </si>
  <si>
    <t>前端名称</t>
  </si>
  <si>
    <t>输入类型</t>
  </si>
  <si>
    <t>选项/格式</t>
  </si>
  <si>
    <t>是否计分</t>
  </si>
  <si>
    <t>自动规则</t>
  </si>
  <si>
    <t>basic_name</t>
  </si>
  <si>
    <t>基本信息</t>
  </si>
  <si>
    <t>text</t>
  </si>
  <si>
    <t>自由文本</t>
  </si>
  <si>
    <t/>
  </si>
  <si>
    <t>basic_gender</t>
  </si>
  <si>
    <t>text/select</t>
  </si>
  <si>
    <t>男/女/其他</t>
  </si>
  <si>
    <t>adl_eat</t>
  </si>
  <si>
    <t>吃饭</t>
  </si>
  <si>
    <t>select</t>
  </si>
  <si>
    <t>独立/需提醒准备/需身体帮助</t>
  </si>
  <si>
    <t>映射 0/1/2</t>
  </si>
  <si>
    <t>adl_dress</t>
  </si>
  <si>
    <t>穿衣</t>
  </si>
  <si>
    <t>iadl_med</t>
  </si>
  <si>
    <t>管理日常用药</t>
  </si>
  <si>
    <t>独立/部分依赖需提醒/不能独立</t>
  </si>
  <si>
    <t>fall_count</t>
  </si>
  <si>
    <t>integer</t>
  </si>
  <si>
    <t>0,1,2...</t>
  </si>
  <si>
    <t>≥2 记重度</t>
  </si>
  <si>
    <t>fall_injury</t>
  </si>
  <si>
    <t>受伤跌倒</t>
  </si>
  <si>
    <t>boolean</t>
  </si>
  <si>
    <t>是=重度</t>
  </si>
  <si>
    <t>fall_sitstand_sec</t>
  </si>
  <si>
    <t>5次起立耗时</t>
  </si>
  <si>
    <t>decimal</t>
  </si>
  <si>
    <t>秒</t>
  </si>
  <si>
    <t>&gt;14 记轻度风险</t>
  </si>
  <si>
    <t>cog_date_ok</t>
  </si>
  <si>
    <t>日期正确</t>
  </si>
  <si>
    <t>否计异常</t>
  </si>
  <si>
    <t>cog_recall_n</t>
  </si>
  <si>
    <t>0-3</t>
  </si>
  <si>
    <t>0=重度，1=轻度</t>
  </si>
  <si>
    <t>nutri_weightloss</t>
  </si>
  <si>
    <t>非故意减重&gt;3kg</t>
  </si>
  <si>
    <t>sense_vision</t>
  </si>
  <si>
    <t>视力影响</t>
  </si>
  <si>
    <t>无明显影响/轻度影响/明显影响</t>
  </si>
  <si>
    <t>mood_down</t>
  </si>
  <si>
    <t>情绪低落/无希望</t>
  </si>
  <si>
    <t>是=1</t>
  </si>
  <si>
    <t>trigger_polypharmacy</t>
  </si>
  <si>
    <t>多重用药/近期高风险调药</t>
  </si>
  <si>
    <t>服务触发项</t>
  </si>
  <si>
    <t>是=触发工单</t>
  </si>
  <si>
    <t>trigger_homehazard</t>
  </si>
  <si>
    <t>家居安全风险</t>
  </si>
  <si>
    <t>是=家访/改造</t>
  </si>
  <si>
    <t>证据映射与版权/商用合规提示</t>
  </si>
  <si>
    <t>说明：本工作簿前端题面为原创，不直接复刻受保护量表；本页用于保留证据和合规判断，供研发、法务和市场审核。</t>
  </si>
  <si>
    <t>项目</t>
  </si>
  <si>
    <t>本表如何使用</t>
  </si>
  <si>
    <t>主要依据/阈值</t>
  </si>
  <si>
    <t>来源URL</t>
  </si>
  <si>
    <t>商用使用建议</t>
  </si>
  <si>
    <t>风险等级</t>
  </si>
  <si>
    <t>WHO ICOPE 2nd ed.</t>
  </si>
  <si>
    <t>作为六大核心域与服务分流的证据骨架，不复制官方表单</t>
  </si>
  <si>
    <t>社区识别内在能力下降、社会照护需求并形成个体化计划</t>
  </si>
  <si>
    <t>https://www.who.int/publications/i/item/9789240103726</t>
  </si>
  <si>
    <t>可作为理论依据；前端不要直接复刻官方表单文本</t>
  </si>
  <si>
    <t>中</t>
  </si>
  <si>
    <t>WHO出版物为 CC BY-NC-SA 3.0 IGO，商业产品前端应避免直接移植原文</t>
  </si>
  <si>
    <t>WHO ICOPE 页面/版权</t>
  </si>
  <si>
    <t>用于版权边界说明</t>
  </si>
  <si>
    <t>WHO开放获取许可为 CC BY-NC-SA 3.0 IGO（非商业）</t>
  </si>
  <si>
    <t>https://www.who.int/about/policies/publishing/copyright</t>
  </si>
  <si>
    <t>商业化产品建议只引用原则与证据，不直接照搬受许可限制文本</t>
  </si>
  <si>
    <t>高</t>
  </si>
  <si>
    <t>需避免让用户误以为 WHO 背书</t>
  </si>
  <si>
    <t>CDC STEADI</t>
  </si>
  <si>
    <t>直接采用跌倒筛查逻辑与家居安全思路</t>
  </si>
  <si>
    <t>任一关键问题为是即提示风险；跌倒预防关注药物、血压、家居安全</t>
  </si>
  <si>
    <t>https://www.cdc.gov/steadi/media/pdfs/2024/08/Telesteadi-Guide_H_WEB.pdf</t>
  </si>
  <si>
    <t>CDC资料通常可用，注明来源即可</t>
  </si>
  <si>
    <t>低</t>
  </si>
  <si>
    <t>注意个别第三方版权例外</t>
  </si>
  <si>
    <t>CDC 家居安全清单</t>
  </si>
  <si>
    <t>作为T4触发项依据</t>
  </si>
  <si>
    <t>地垫、照明、台阶、浴室防滑、扶手等为常见家居跌倒危险</t>
  </si>
  <si>
    <t>https://www.cdc.gov/steadi/pdf/steadi-brochure-checkforsafety-508.pdf</t>
  </si>
  <si>
    <t>可转化为原创家访问题</t>
  </si>
  <si>
    <t>建议不要直接复刻整张清单版式</t>
  </si>
  <si>
    <t>CDC 体位性血压</t>
  </si>
  <si>
    <t>作为T2触发项后续评估依据</t>
  </si>
  <si>
    <t>站立后收缩压下降≥20 mmHg 或舒张压下降≥10 mmHg 为异常</t>
  </si>
  <si>
    <t>https://www.cdc.gov/steadi/media/pdfs/STEADI-Assessment-MeasuringBP-508.pdf</t>
  </si>
  <si>
    <t>可作为后台评估规则依据</t>
  </si>
  <si>
    <t>前端可只展示“起立头晕需进一步评估”</t>
  </si>
  <si>
    <t>NIA ADL 服务场景</t>
  </si>
  <si>
    <t>支持基础自理维度的生活任务设计</t>
  </si>
  <si>
    <t>老年人在家照护会围绕洗澡、穿衣、如厕、进食、走动等核心任务</t>
  </si>
  <si>
    <t>https://www.nia.nih.gov/health/caregiving/services-older-adults-living-home</t>
  </si>
  <si>
    <t>适合做生活化题面依据</t>
  </si>
  <si>
    <t>为生活服务内容来源，不是标准量表授权</t>
  </si>
  <si>
    <t>NCBI IADL</t>
  </si>
  <si>
    <t>支持社区生活能力维度设计</t>
  </si>
  <si>
    <t>IADL 涵盖做饭、清洁、交通、财务、用药管理等复杂日常任务</t>
  </si>
  <si>
    <t>https://www.ncbi.nlm.nih.gov/books/NBK553126/</t>
  </si>
  <si>
    <t>适合做原创题面构念依据</t>
  </si>
  <si>
    <t>不要声称等同于原始 Lawton 量表</t>
  </si>
  <si>
    <t>NCBI Polypharmacy</t>
  </si>
  <si>
    <t>支持多重用药触发项</t>
  </si>
  <si>
    <t>≥5种药物是常用多重用药定义之一</t>
  </si>
  <si>
    <t>https://www.ncbi.nlm.nih.gov/books/NBK532953/</t>
  </si>
  <si>
    <t>可直接作为服务触发规则</t>
  </si>
  <si>
    <t>建议结合药师复核流程</t>
  </si>
  <si>
    <t>COSMIN</t>
  </si>
  <si>
    <t>用于后续验证与对外表述约束</t>
  </si>
  <si>
    <t>内容效度优先关注相关性、全面性、可理解性</t>
  </si>
  <si>
    <t>https://www.cosmin.nl/wp-content/uploads/COSMIN-methodology-for-content-validity-user-manual-v1.pdf</t>
  </si>
  <si>
    <t>若对外宣传“量表有效”，需先完成本地化验证</t>
  </si>
  <si>
    <t>适合用作研发方法学依据</t>
  </si>
  <si>
    <t>Mini-Cog</t>
  </si>
  <si>
    <t>本表未直接使用，只作为禁用示例</t>
  </si>
  <si>
    <t>商业实体使用需事先书面许可与许可协议</t>
  </si>
  <si>
    <t>https://mini-cog.com/contact/</t>
  </si>
  <si>
    <t>不要在产品前端直接嵌入或改编后继续用其名称</t>
  </si>
  <si>
    <t>若要使用，先走许可流程</t>
  </si>
  <si>
    <t>Mini-Cog 官方说明</t>
  </si>
  <si>
    <t>原工具不得修改或用于商业/营销/研究用途而不经许可</t>
  </si>
  <si>
    <t>https://mini-cog.com/wp-content/uploads/2022/03/Standardized-English-Mini-Cog-1-19-16-EN_v1-low-1.pdf</t>
  </si>
  <si>
    <t>不建议前端直接使用</t>
  </si>
  <si>
    <t>与上一行形成双重证明</t>
  </si>
  <si>
    <t>MNA</t>
  </si>
  <si>
    <t>本表未直接使用，只保留营养风险构念</t>
  </si>
  <si>
    <t>MNA 为注册商标且受版权保护，必须下载原始格式使用</t>
  </si>
  <si>
    <t>https://www.mna-elderly.com/mna-forms</t>
  </si>
  <si>
    <t>不建议前端直接嵌入或改题后仍称 MNA</t>
  </si>
  <si>
    <t>如需正式使用，走授权/规范使用路径</t>
  </si>
  <si>
    <t>LSNS</t>
  </si>
  <si>
    <t>本表未直接使用，只保留社会支持触发逻辑</t>
  </si>
  <si>
    <t>官方要求研究者在使用前填写 permission form</t>
  </si>
  <si>
    <t>https://www.brandeis.edu/roybal/docs/LSNS_website_PDF.pdf</t>
  </si>
  <si>
    <t>不建议产品前端直接使用原量表</t>
  </si>
  <si>
    <t>社会支持可改为原创服务触发问题</t>
  </si>
  <si>
    <t>CDC 通用版权说明</t>
  </si>
  <si>
    <t>用于说明 CDC 材料通常为公共领域</t>
  </si>
  <si>
    <t>多数 CDC 网站信息不受版权限制，可自由使用和复制；但有少数例外</t>
  </si>
  <si>
    <t>https://www.cdc.gov/other/agencymaterials.html</t>
  </si>
  <si>
    <t>引用 CDC 时仍建议注明来源，并避开标注为受限的内容</t>
  </si>
  <si>
    <t>合规上比直接复刻受保护量表更稳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</si>
</sst>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Calibri"/>
      <charset val="134"/>
      <scheme val="minor"/>
    </font>
    <font>
      <b/>
      <sz val="15"/>
      <color rgb="FFFFFFFF"/>
      <name val="Microsoft YaHei"/>
      <charset val="134"/>
    </font>
    <font>
      <sz val="10"/>
      <color rgb="FF666666"/>
      <name val="Microsoft YaHei"/>
      <charset val="134"/>
    </font>
    <font>
      <b/>
      <sz val="10"/>
      <color rgb="FFFFFFFF"/>
      <name val="Microsoft YaHei"/>
      <charset val="134"/>
    </font>
    <font>
      <sz val="10"/>
      <color rgb="FF000000"/>
      <name val="Microsoft YaHei"/>
      <charset val="134"/>
    </font>
    <font>
      <b/>
      <sz val="11"/>
      <color rgb="FFFFFFFF"/>
      <name val="Microsoft YaHei"/>
      <charset val="134"/>
    </font>
    <font>
      <sz val="10"/>
      <color rgb="FF0000FF"/>
      <name val="Microsoft YaHei"/>
      <charset val="134"/>
    </font>
    <font>
      <b/>
      <sz val="10"/>
      <color rgb="FF000000"/>
      <name val="Microsoft YaHei"/>
      <charset val="134"/>
    </font>
    <font>
      <sz val="11"/>
      <color theme="1"/>
      <name val="微软雅黑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4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DE9E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AF3F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16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7" borderId="9" applyNumberFormat="0" applyAlignment="0" applyProtection="0">
      <alignment vertical="center"/>
    </xf>
    <xf numFmtId="0" fontId="22" fillId="18" borderId="10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4" fillId="19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0" fillId="0" borderId="0"/>
  </cellStyleXfs>
  <cellXfs count="44">
    <xf numFmtId="0" fontId="0" fillId="0" borderId="0" xfId="49"/>
    <xf numFmtId="0" fontId="1" fillId="2" borderId="0" xfId="49" applyFont="1" applyFill="1" applyAlignment="1">
      <alignment horizontal="center" vertical="center" wrapText="1"/>
    </xf>
    <xf numFmtId="0" fontId="2" fillId="0" borderId="0" xfId="49" applyFont="1" applyAlignment="1">
      <alignment horizontal="left" vertical="center" wrapText="1"/>
    </xf>
    <xf numFmtId="0" fontId="3" fillId="2" borderId="1" xfId="49" applyFont="1" applyFill="1" applyBorder="1" applyAlignment="1">
      <alignment horizontal="center" vertical="center" wrapText="1"/>
    </xf>
    <xf numFmtId="0" fontId="4" fillId="0" borderId="1" xfId="49" applyFont="1" applyBorder="1" applyAlignment="1">
      <alignment horizontal="left" vertical="center" wrapText="1"/>
    </xf>
    <xf numFmtId="0" fontId="4" fillId="3" borderId="1" xfId="49" applyFont="1" applyFill="1" applyBorder="1" applyAlignment="1">
      <alignment horizontal="left" vertical="center" wrapText="1"/>
    </xf>
    <xf numFmtId="0" fontId="4" fillId="4" borderId="1" xfId="49" applyFont="1" applyFill="1" applyBorder="1" applyAlignment="1">
      <alignment horizontal="left" vertical="center" wrapText="1"/>
    </xf>
    <xf numFmtId="0" fontId="4" fillId="5" borderId="1" xfId="49" applyFont="1" applyFill="1" applyBorder="1" applyAlignment="1">
      <alignment horizontal="left" vertical="center" wrapText="1"/>
    </xf>
    <xf numFmtId="0" fontId="4" fillId="6" borderId="0" xfId="49" applyFont="1" applyFill="1" applyAlignment="1">
      <alignment horizontal="center" vertical="center" wrapText="1"/>
    </xf>
    <xf numFmtId="0" fontId="0" fillId="0" borderId="0" xfId="49" applyAlignment="1">
      <alignment horizontal="center"/>
    </xf>
    <xf numFmtId="0" fontId="5" fillId="2" borderId="0" xfId="49" applyFont="1" applyFill="1" applyAlignment="1">
      <alignment horizontal="left" vertical="center" wrapText="1"/>
    </xf>
    <xf numFmtId="0" fontId="5" fillId="2" borderId="1" xfId="49" applyFont="1" applyFill="1" applyBorder="1" applyAlignment="1">
      <alignment horizontal="center" vertical="center" wrapText="1"/>
    </xf>
    <xf numFmtId="0" fontId="0" fillId="0" borderId="2" xfId="49" applyBorder="1"/>
    <xf numFmtId="0" fontId="0" fillId="0" borderId="3" xfId="49" applyBorder="1"/>
    <xf numFmtId="0" fontId="4" fillId="7" borderId="1" xfId="49" applyFont="1" applyFill="1" applyBorder="1" applyAlignment="1">
      <alignment horizontal="center" vertical="center" wrapText="1"/>
    </xf>
    <xf numFmtId="0" fontId="6" fillId="0" borderId="1" xfId="49" applyFont="1" applyBorder="1" applyAlignment="1">
      <alignment horizontal="left" vertical="center" wrapText="1"/>
    </xf>
    <xf numFmtId="0" fontId="4" fillId="8" borderId="1" xfId="49" applyFont="1" applyFill="1" applyBorder="1" applyAlignment="1">
      <alignment horizontal="left" vertical="center" wrapText="1"/>
    </xf>
    <xf numFmtId="0" fontId="7" fillId="3" borderId="1" xfId="49" applyFont="1" applyFill="1" applyBorder="1" applyAlignment="1">
      <alignment horizontal="left" vertical="center" wrapText="1"/>
    </xf>
    <xf numFmtId="0" fontId="4" fillId="9" borderId="4" xfId="49" applyFont="1" applyFill="1" applyBorder="1" applyAlignment="1">
      <alignment horizontal="center" vertical="center" wrapText="1"/>
    </xf>
    <xf numFmtId="0" fontId="4" fillId="9" borderId="4" xfId="49" applyFont="1" applyFill="1" applyBorder="1" applyAlignment="1">
      <alignment horizontal="left" vertical="center" wrapText="1"/>
    </xf>
    <xf numFmtId="0" fontId="4" fillId="9" borderId="0" xfId="49" applyFont="1" applyFill="1" applyAlignment="1">
      <alignment horizontal="center" vertical="center" wrapText="1"/>
    </xf>
    <xf numFmtId="0" fontId="6" fillId="9" borderId="4" xfId="49" applyFont="1" applyFill="1" applyBorder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9" fillId="10" borderId="0" xfId="0" applyFill="1" applyAlignment="1">
      <alignment horizontal="center" vertical="center"/>
    </xf>
    <xf numFmtId="0" fontId="7" fillId="5" borderId="1" xfId="49" applyFont="1" applyFill="1" applyBorder="1" applyAlignment="1">
      <alignment horizontal="center" vertical="center" wrapText="1"/>
    </xf>
    <xf numFmtId="0" fontId="7" fillId="5" borderId="1" xfId="49" applyFont="1" applyFill="1" applyBorder="1" applyAlignment="1">
      <alignment horizontal="left" vertical="center" wrapText="1"/>
    </xf>
    <xf numFmtId="0" fontId="4" fillId="5" borderId="1" xfId="49" applyFont="1" applyFill="1" applyBorder="1" applyAlignment="1">
      <alignment horizontal="center" vertical="center" wrapText="1"/>
    </xf>
    <xf numFmtId="0" fontId="4" fillId="0" borderId="4" xfId="49" applyFont="1" applyBorder="1"/>
    <xf numFmtId="0" fontId="6" fillId="0" borderId="4" xfId="49" applyFont="1" applyBorder="1"/>
    <xf numFmtId="0" fontId="8" fillId="11" borderId="0" xfId="0" applyFont="1" applyFill="1" applyAlignment="1">
      <alignment horizontal="center" vertical="center" wrapText="1"/>
    </xf>
    <xf numFmtId="0" fontId="9" fillId="11" borderId="0" xfId="0" applyFill="1" applyAlignment="1">
      <alignment horizontal="center" vertical="center"/>
    </xf>
    <xf numFmtId="0" fontId="9" fillId="10" borderId="0" xfId="0" applyFont="1" applyFill="1" applyAlignment="1">
      <alignment vertical="center" wrapText="1"/>
    </xf>
    <xf numFmtId="0" fontId="10" fillId="10" borderId="0" xfId="0" applyFont="1" applyFill="1">
      <alignment vertical="center"/>
    </xf>
    <xf numFmtId="0" fontId="9" fillId="10" borderId="0" xfId="0" applyFont="1" applyFill="1" applyAlignment="1">
      <alignment horizontal="center" vertical="center" wrapText="1"/>
    </xf>
    <xf numFmtId="0" fontId="4" fillId="5" borderId="5" xfId="49" applyFont="1" applyFill="1" applyBorder="1" applyAlignment="1">
      <alignment horizontal="left" vertical="center" wrapText="1"/>
    </xf>
    <xf numFmtId="0" fontId="9" fillId="12" borderId="0" xfId="0" applyFont="1" applyFill="1" applyAlignment="1">
      <alignment vertical="center" wrapText="1"/>
    </xf>
    <xf numFmtId="0" fontId="4" fillId="13" borderId="4" xfId="49" applyFont="1" applyFill="1" applyBorder="1" applyAlignment="1">
      <alignment horizontal="center" vertical="center" wrapText="1"/>
    </xf>
    <xf numFmtId="0" fontId="4" fillId="13" borderId="4" xfId="49" applyFont="1" applyFill="1" applyBorder="1" applyAlignment="1">
      <alignment horizontal="left" vertical="center" wrapText="1"/>
    </xf>
    <xf numFmtId="0" fontId="6" fillId="13" borderId="4" xfId="49" applyFont="1" applyFill="1" applyBorder="1" applyAlignment="1">
      <alignment horizontal="center" vertical="center" wrapText="1"/>
    </xf>
    <xf numFmtId="0" fontId="4" fillId="13" borderId="0" xfId="49" applyFont="1" applyFill="1" applyAlignment="1">
      <alignment horizontal="center" vertical="center" wrapText="1"/>
    </xf>
    <xf numFmtId="0" fontId="4" fillId="14" borderId="0" xfId="49" applyFont="1" applyFill="1" applyAlignment="1">
      <alignment horizontal="center" vertical="center" wrapText="1"/>
    </xf>
    <xf numFmtId="0" fontId="11" fillId="15" borderId="0" xfId="49" applyFont="1" applyFill="1" applyAlignment="1">
      <alignment horizontal="center" wrapText="1"/>
    </xf>
    <xf numFmtId="0" fontId="12" fillId="15" borderId="0" xfId="49" applyFont="1" applyFill="1" applyAlignment="1">
      <alignment horizontal="center" wrapText="1"/>
    </xf>
    <xf numFmtId="0" fontId="12" fillId="12" borderId="0" xfId="49" applyFont="1" applyFill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0"/>
  <sheetViews>
    <sheetView showGridLines="0" tabSelected="1" zoomScale="85" zoomScaleNormal="85" workbookViewId="0">
      <selection activeCell="P58" sqref="P58"/>
    </sheetView>
  </sheetViews>
  <sheetFormatPr defaultColWidth="9" defaultRowHeight="15"/>
  <cols>
    <col min="1" max="1" width="14" customWidth="1"/>
    <col min="2" max="2" width="9" customWidth="1"/>
    <col min="3" max="3" width="50" customWidth="1"/>
    <col min="4" max="4" width="28" customWidth="1"/>
    <col min="5" max="5" width="18" customWidth="1"/>
    <col min="6" max="6" width="14" customWidth="1"/>
    <col min="7" max="7" width="12" customWidth="1"/>
    <col min="8" max="8" width="16" customWidth="1"/>
    <col min="10" max="10" width="12" customWidth="1"/>
    <col min="11" max="11" width="18" customWidth="1"/>
    <col min="12" max="13" width="16" customWidth="1"/>
  </cols>
  <sheetData>
    <row r="1" ht="24" customHeight="1" spans="1:13">
      <c r="A1" s="1" t="s">
        <v>0</v>
      </c>
    </row>
    <row r="2" ht="38" customHeight="1" spans="1:13">
      <c r="A2" s="8" t="s">
        <v>1</v>
      </c>
      <c r="B2" s="9"/>
      <c r="C2" s="9"/>
      <c r="D2" s="9"/>
      <c r="E2" s="9"/>
      <c r="F2" s="9"/>
      <c r="G2" s="9"/>
      <c r="H2" s="9"/>
    </row>
    <row r="3" ht="24" customHeight="1" spans="1:13">
      <c r="A3" s="9"/>
      <c r="B3" s="9"/>
      <c r="C3" s="9"/>
      <c r="D3" s="9"/>
      <c r="E3" s="9"/>
      <c r="F3" s="9"/>
      <c r="G3" s="9"/>
      <c r="H3" s="9"/>
    </row>
    <row r="5" spans="1:13">
      <c r="A5" s="10" t="s">
        <v>2</v>
      </c>
      <c r="J5" s="11" t="s">
        <v>3</v>
      </c>
      <c r="K5" s="12"/>
      <c r="L5" s="12"/>
      <c r="M5" s="13"/>
    </row>
    <row r="6" ht="16.5" spans="1:13">
      <c r="A6" s="14" t="s">
        <v>4</v>
      </c>
      <c r="B6" s="15"/>
      <c r="C6" s="14" t="s">
        <v>5</v>
      </c>
      <c r="D6" s="15"/>
      <c r="E6" s="14" t="s">
        <v>6</v>
      </c>
      <c r="F6" s="15"/>
      <c r="G6" s="14" t="s">
        <v>7</v>
      </c>
      <c r="H6" s="15"/>
      <c r="J6" s="14" t="s">
        <v>8</v>
      </c>
      <c r="K6" s="16">
        <f>COUNTIF(G18,"&gt;=1")+COUNTIF(G26,"&gt;=1")+COUNTIF(G34,"&gt;=1")+COUNTIF(G39,"&gt;=1")+COUNTIF(G43,"&gt;=1")+COUNTIF(G47,"&gt;=1")+COUNTIF(G51,"&gt;=1")</f>
        <v>2</v>
      </c>
      <c r="L6" s="12"/>
      <c r="M6" s="13"/>
    </row>
    <row r="7" ht="16.5" spans="1:13">
      <c r="A7" s="14" t="s">
        <v>9</v>
      </c>
      <c r="B7" s="15"/>
      <c r="C7" s="14" t="s">
        <v>10</v>
      </c>
      <c r="D7" s="15"/>
      <c r="E7" s="14" t="s">
        <v>11</v>
      </c>
      <c r="F7" s="15"/>
      <c r="G7" s="14" t="s">
        <v>12</v>
      </c>
      <c r="H7" s="15"/>
      <c r="J7" s="14" t="s">
        <v>13</v>
      </c>
      <c r="K7" s="16">
        <f>COUNTIF(G18,"=2")+COUNTIF(G26,"=2")+COUNTIF(G34,"=2")+COUNTIF(G39,"=2")+COUNTIF(G43,"=2")+COUNTIF(G47,"=2")+COUNTIF(G51,"=2")</f>
        <v>1</v>
      </c>
      <c r="L7" s="12"/>
      <c r="M7" s="13"/>
    </row>
    <row r="8" ht="16.5" spans="1:13">
      <c r="A8" s="14" t="s">
        <v>14</v>
      </c>
      <c r="B8" s="15"/>
      <c r="C8" s="14" t="s">
        <v>15</v>
      </c>
      <c r="D8" s="15"/>
      <c r="E8" s="14" t="s">
        <v>16</v>
      </c>
      <c r="F8" s="15"/>
      <c r="G8" s="14" t="s">
        <v>17</v>
      </c>
      <c r="H8" s="15"/>
      <c r="J8" s="14" t="s">
        <v>18</v>
      </c>
      <c r="K8" s="16">
        <f>G59</f>
        <v>2</v>
      </c>
      <c r="L8" s="12"/>
      <c r="M8" s="13"/>
    </row>
    <row r="9" ht="16.5" spans="1:13">
      <c r="J9" s="14" t="s">
        <v>19</v>
      </c>
      <c r="K9" s="17" t="str">
        <f>IF(OR(K7&gt;=2,K8&gt;=2),"高优先级服务分流",IF(OR(K6&gt;=3,K7&gt;=1),"建议尽快进入二级评估",IF(K6&gt;=1,"轻度风险，给针对性建议","常规随访")))</f>
        <v>高优先级服务分流</v>
      </c>
      <c r="L9" s="12"/>
      <c r="M9" s="13"/>
    </row>
    <row r="10" ht="16.5" spans="1:13">
      <c r="J10" s="14" t="s">
        <v>20</v>
      </c>
      <c r="K10" s="7" t="str">
        <f>IF(K9="高优先级服务分流","优先安排线下/上门评估，并处理触发项",IF(K9="建议尽快进入二级评估","建议做二级综合评估或转介",IF(K9="轻度风险，给针对性建议","给生活方式、跌倒预防、营养与随访建议","按常规周期随访")))</f>
        <v>优先安排线下/上门评估，并处理触发项</v>
      </c>
      <c r="L10" s="12"/>
      <c r="M10" s="13"/>
    </row>
    <row r="11" ht="16.5" spans="1:13">
      <c r="A11" s="3" t="s">
        <v>21</v>
      </c>
      <c r="B11" s="3" t="s">
        <v>22</v>
      </c>
      <c r="C11" s="3" t="s">
        <v>23</v>
      </c>
      <c r="D11" s="3" t="s">
        <v>24</v>
      </c>
      <c r="E11" s="3" t="s">
        <v>25</v>
      </c>
      <c r="F11" s="3" t="s">
        <v>26</v>
      </c>
      <c r="G11" s="3" t="s">
        <v>27</v>
      </c>
      <c r="H11" s="3" t="s">
        <v>28</v>
      </c>
    </row>
    <row r="12" ht="24" customHeight="1" spans="1:13">
      <c r="A12" s="18" t="s">
        <v>29</v>
      </c>
      <c r="B12" s="18" t="s">
        <v>30</v>
      </c>
      <c r="C12" s="19" t="s">
        <v>31</v>
      </c>
      <c r="D12" s="20" t="s">
        <v>32</v>
      </c>
      <c r="E12" s="21" t="s">
        <v>33</v>
      </c>
      <c r="F12" s="18">
        <f t="shared" ref="F12:F17" si="0">IF(E12="","",IF(E12="独立",0,IF(E12="需提醒/准备",1,IF(E12="需身体帮助",2,""))))</f>
        <v>0</v>
      </c>
      <c r="G12" s="20" t="s">
        <v>34</v>
      </c>
      <c r="H12" s="20" t="s">
        <v>35</v>
      </c>
      <c r="I12" s="22" t="s">
        <v>36</v>
      </c>
      <c r="J12" s="23"/>
    </row>
    <row r="13" ht="24" customHeight="1" spans="1:13">
      <c r="A13" s="18" t="s">
        <v>29</v>
      </c>
      <c r="B13" s="18" t="s">
        <v>37</v>
      </c>
      <c r="C13" s="19" t="s">
        <v>38</v>
      </c>
      <c r="D13" s="20"/>
      <c r="E13" s="21" t="s">
        <v>33</v>
      </c>
      <c r="F13" s="18">
        <f t="shared" si="0"/>
        <v>0</v>
      </c>
      <c r="G13" s="20"/>
      <c r="H13" s="20"/>
      <c r="I13" s="23"/>
      <c r="J13" s="23"/>
    </row>
    <row r="14" ht="24" customHeight="1" spans="1:13">
      <c r="A14" s="18" t="s">
        <v>29</v>
      </c>
      <c r="B14" s="18" t="s">
        <v>39</v>
      </c>
      <c r="C14" s="19" t="s">
        <v>40</v>
      </c>
      <c r="D14" s="20"/>
      <c r="E14" s="21" t="s">
        <v>33</v>
      </c>
      <c r="F14" s="18">
        <f t="shared" si="0"/>
        <v>0</v>
      </c>
      <c r="G14" s="20"/>
      <c r="H14" s="20"/>
      <c r="I14" s="23"/>
      <c r="J14" s="23"/>
    </row>
    <row r="15" ht="24" customHeight="1" spans="1:13">
      <c r="A15" s="18" t="s">
        <v>29</v>
      </c>
      <c r="B15" s="18" t="s">
        <v>41</v>
      </c>
      <c r="C15" s="19" t="s">
        <v>42</v>
      </c>
      <c r="D15" s="20"/>
      <c r="E15" s="21" t="s">
        <v>33</v>
      </c>
      <c r="F15" s="18">
        <f t="shared" si="0"/>
        <v>0</v>
      </c>
      <c r="G15" s="20"/>
      <c r="H15" s="20"/>
      <c r="I15" s="23"/>
      <c r="J15" s="23"/>
    </row>
    <row r="16" ht="24" customHeight="1" spans="1:13">
      <c r="A16" s="18" t="s">
        <v>29</v>
      </c>
      <c r="B16" s="18" t="s">
        <v>43</v>
      </c>
      <c r="C16" s="19" t="s">
        <v>44</v>
      </c>
      <c r="D16" s="20"/>
      <c r="E16" s="21" t="s">
        <v>33</v>
      </c>
      <c r="F16" s="18">
        <f t="shared" si="0"/>
        <v>0</v>
      </c>
      <c r="G16" s="20"/>
      <c r="H16" s="20"/>
      <c r="I16" s="23"/>
      <c r="J16" s="23"/>
    </row>
    <row r="17" ht="24" customHeight="1" spans="1:10">
      <c r="A17" s="18" t="s">
        <v>29</v>
      </c>
      <c r="B17" s="18" t="s">
        <v>45</v>
      </c>
      <c r="C17" s="19" t="s">
        <v>46</v>
      </c>
      <c r="D17" s="18"/>
      <c r="E17" s="21" t="s">
        <v>33</v>
      </c>
      <c r="F17" s="18">
        <f t="shared" si="0"/>
        <v>0</v>
      </c>
      <c r="G17" s="18"/>
      <c r="H17" s="18"/>
      <c r="I17" s="23"/>
      <c r="J17" s="23"/>
    </row>
    <row r="18" ht="22" customHeight="1" spans="1:10">
      <c r="A18" s="24" t="s">
        <v>29</v>
      </c>
      <c r="B18" s="24" t="s">
        <v>47</v>
      </c>
      <c r="C18" s="25" t="s">
        <v>48</v>
      </c>
      <c r="D18" s="7" t="s">
        <v>49</v>
      </c>
      <c r="E18" s="26"/>
      <c r="F18" s="26"/>
      <c r="G18" s="24">
        <f>IF(COUNTA(E12:E17)=0,"",IF(COUNTIF(F12:F17,2)&gt;=1,2,IF(COUNTIF(F12:F17,1)&gt;=2,2,IF(COUNTIF(F12:F17,1)&gt;=1,1,0))))</f>
        <v>0</v>
      </c>
      <c r="H18" s="7" t="str">
        <f>IF(G18="","",IF(G18&gt;=1,"阳性","阴性"))</f>
        <v>阴性</v>
      </c>
    </row>
    <row r="19" ht="24" customHeight="1" spans="1:10">
      <c r="A19" s="27"/>
      <c r="B19" s="27"/>
      <c r="C19" s="27"/>
      <c r="D19" s="27"/>
      <c r="E19" s="28"/>
      <c r="F19" s="27"/>
      <c r="G19" s="27"/>
      <c r="H19" s="27"/>
    </row>
    <row r="20" ht="24" customHeight="1" spans="1:10">
      <c r="A20" s="18" t="s">
        <v>50</v>
      </c>
      <c r="B20" s="18" t="s">
        <v>51</v>
      </c>
      <c r="C20" s="19" t="s">
        <v>52</v>
      </c>
      <c r="D20" s="20" t="s">
        <v>53</v>
      </c>
      <c r="E20" s="21" t="s">
        <v>33</v>
      </c>
      <c r="F20" s="18">
        <f t="shared" ref="F20:F25" si="1">IF(E20="","",IF(E20="独立",0,IF(E20="部分依赖/需提醒",1,IF(E20="不能独立",2,""))))</f>
        <v>0</v>
      </c>
      <c r="G20" s="20" t="s">
        <v>34</v>
      </c>
      <c r="H20" s="20" t="s">
        <v>54</v>
      </c>
      <c r="I20" s="22" t="s">
        <v>55</v>
      </c>
      <c r="J20" s="23"/>
    </row>
    <row r="21" ht="24" customHeight="1" spans="1:10">
      <c r="A21" s="18" t="s">
        <v>50</v>
      </c>
      <c r="B21" s="18" t="s">
        <v>56</v>
      </c>
      <c r="C21" s="19" t="s">
        <v>57</v>
      </c>
      <c r="D21" s="20"/>
      <c r="E21" s="21" t="s">
        <v>33</v>
      </c>
      <c r="F21" s="18">
        <f t="shared" si="1"/>
        <v>0</v>
      </c>
      <c r="G21" s="20"/>
      <c r="H21" s="20"/>
      <c r="I21" s="23"/>
      <c r="J21" s="23"/>
    </row>
    <row r="22" ht="24" customHeight="1" spans="1:10">
      <c r="A22" s="18" t="s">
        <v>50</v>
      </c>
      <c r="B22" s="18" t="s">
        <v>58</v>
      </c>
      <c r="C22" s="19" t="s">
        <v>59</v>
      </c>
      <c r="D22" s="20"/>
      <c r="E22" s="21" t="s">
        <v>33</v>
      </c>
      <c r="F22" s="18">
        <f t="shared" si="1"/>
        <v>0</v>
      </c>
      <c r="G22" s="20"/>
      <c r="H22" s="20"/>
      <c r="I22" s="23"/>
      <c r="J22" s="23"/>
    </row>
    <row r="23" ht="24" customHeight="1" spans="1:10">
      <c r="A23" s="18" t="s">
        <v>50</v>
      </c>
      <c r="B23" s="18" t="s">
        <v>60</v>
      </c>
      <c r="C23" s="19" t="s">
        <v>61</v>
      </c>
      <c r="D23" s="20"/>
      <c r="E23" s="21" t="s">
        <v>33</v>
      </c>
      <c r="F23" s="18">
        <f t="shared" si="1"/>
        <v>0</v>
      </c>
      <c r="G23" s="20"/>
      <c r="H23" s="20"/>
      <c r="I23" s="23"/>
      <c r="J23" s="23"/>
    </row>
    <row r="24" ht="24" customHeight="1" spans="1:10">
      <c r="A24" s="18" t="s">
        <v>50</v>
      </c>
      <c r="B24" s="18" t="s">
        <v>62</v>
      </c>
      <c r="C24" s="19" t="s">
        <v>63</v>
      </c>
      <c r="D24" s="20"/>
      <c r="E24" s="21" t="s">
        <v>33</v>
      </c>
      <c r="F24" s="18">
        <f t="shared" si="1"/>
        <v>0</v>
      </c>
      <c r="G24" s="20"/>
      <c r="H24" s="20"/>
      <c r="I24" s="23"/>
      <c r="J24" s="23"/>
    </row>
    <row r="25" ht="24" customHeight="1" spans="1:10">
      <c r="A25" s="18" t="s">
        <v>50</v>
      </c>
      <c r="B25" s="18" t="s">
        <v>64</v>
      </c>
      <c r="C25" s="19" t="s">
        <v>65</v>
      </c>
      <c r="D25" s="18"/>
      <c r="E25" s="21" t="s">
        <v>33</v>
      </c>
      <c r="F25" s="18">
        <f t="shared" si="1"/>
        <v>0</v>
      </c>
      <c r="G25" s="18"/>
      <c r="H25" s="18"/>
      <c r="I25" s="23"/>
      <c r="J25" s="23"/>
    </row>
    <row r="26" ht="22" customHeight="1" spans="1:10">
      <c r="A26" s="24" t="s">
        <v>50</v>
      </c>
      <c r="B26" s="24" t="s">
        <v>66</v>
      </c>
      <c r="C26" s="25" t="s">
        <v>67</v>
      </c>
      <c r="D26" s="7" t="s">
        <v>49</v>
      </c>
      <c r="E26" s="26"/>
      <c r="F26" s="26"/>
      <c r="G26" s="24">
        <f>IF(COUNTA(E20:E25)=0,"",IF(COUNTIF(F20:F25,2)&gt;=1,2,IF(COUNTIF(F20:F25,1)&gt;=2,2,IF(COUNTIF(F20:F25,1)&gt;=1,1,0))))</f>
        <v>0</v>
      </c>
      <c r="H26" s="7" t="str">
        <f>IF(G26="","",IF(G26&gt;=1,"阳性","阴性"))</f>
        <v>阴性</v>
      </c>
    </row>
    <row r="27" ht="24" customHeight="1" spans="1:10">
      <c r="A27" s="27"/>
      <c r="B27" s="27"/>
      <c r="C27" s="27"/>
      <c r="D27" s="27"/>
      <c r="E27" s="28"/>
      <c r="F27" s="27"/>
      <c r="G27" s="27"/>
      <c r="H27" s="27"/>
    </row>
    <row r="28" ht="30" customHeight="1" spans="1:10">
      <c r="A28" s="18" t="s">
        <v>68</v>
      </c>
      <c r="B28" s="18" t="s">
        <v>69</v>
      </c>
      <c r="C28" s="19" t="s">
        <v>70</v>
      </c>
      <c r="D28" s="19" t="s">
        <v>71</v>
      </c>
      <c r="E28" s="21">
        <v>0</v>
      </c>
      <c r="F28" s="18">
        <f>IF(E28="","",E28)</f>
        <v>0</v>
      </c>
      <c r="G28" s="20" t="s">
        <v>34</v>
      </c>
      <c r="H28" s="20" t="s">
        <v>72</v>
      </c>
      <c r="I28" s="22" t="s">
        <v>73</v>
      </c>
      <c r="J28" s="23"/>
    </row>
    <row r="29" ht="24" customHeight="1" spans="1:10">
      <c r="A29" s="18" t="s">
        <v>68</v>
      </c>
      <c r="B29" s="18" t="s">
        <v>74</v>
      </c>
      <c r="C29" s="19" t="s">
        <v>75</v>
      </c>
      <c r="D29" s="19" t="s">
        <v>76</v>
      </c>
      <c r="E29" s="21" t="s">
        <v>77</v>
      </c>
      <c r="F29" s="18">
        <f t="shared" ref="F29:F32" si="2">IF(E29="","",IF(E29="是",1,0))</f>
        <v>1</v>
      </c>
      <c r="G29" s="20"/>
      <c r="H29" s="20"/>
      <c r="I29" s="23"/>
      <c r="J29" s="23"/>
    </row>
    <row r="30" ht="24" customHeight="1" spans="1:10">
      <c r="A30" s="18" t="s">
        <v>68</v>
      </c>
      <c r="B30" s="18" t="s">
        <v>78</v>
      </c>
      <c r="C30" s="19" t="s">
        <v>79</v>
      </c>
      <c r="D30" s="19" t="s">
        <v>76</v>
      </c>
      <c r="E30" s="21" t="s">
        <v>80</v>
      </c>
      <c r="F30" s="18">
        <f t="shared" si="2"/>
        <v>0</v>
      </c>
      <c r="G30" s="20"/>
      <c r="H30" s="20"/>
      <c r="I30" s="23"/>
      <c r="J30" s="23"/>
    </row>
    <row r="31" ht="24" customHeight="1" spans="1:10">
      <c r="A31" s="18" t="s">
        <v>68</v>
      </c>
      <c r="B31" s="18" t="s">
        <v>81</v>
      </c>
      <c r="C31" s="19" t="s">
        <v>82</v>
      </c>
      <c r="D31" s="19" t="s">
        <v>76</v>
      </c>
      <c r="E31" s="21" t="s">
        <v>80</v>
      </c>
      <c r="F31" s="18">
        <f t="shared" si="2"/>
        <v>0</v>
      </c>
      <c r="G31" s="20"/>
      <c r="H31" s="20"/>
      <c r="I31" s="23"/>
      <c r="J31" s="23"/>
    </row>
    <row r="32" ht="30" customHeight="1" spans="1:10">
      <c r="A32" s="18" t="s">
        <v>68</v>
      </c>
      <c r="B32" s="18" t="s">
        <v>83</v>
      </c>
      <c r="C32" s="19" t="s">
        <v>84</v>
      </c>
      <c r="D32" s="19" t="s">
        <v>85</v>
      </c>
      <c r="E32" s="21" t="s">
        <v>77</v>
      </c>
      <c r="F32" s="18">
        <f t="shared" si="2"/>
        <v>1</v>
      </c>
      <c r="G32" s="20"/>
      <c r="H32" s="20"/>
      <c r="I32" s="23"/>
      <c r="J32" s="23"/>
    </row>
    <row r="33" ht="24" customHeight="1" spans="1:14">
      <c r="A33" s="18" t="s">
        <v>68</v>
      </c>
      <c r="B33" s="18" t="s">
        <v>86</v>
      </c>
      <c r="C33" s="19" t="s">
        <v>87</v>
      </c>
      <c r="D33" s="19" t="s">
        <v>76</v>
      </c>
      <c r="E33" s="21" t="s">
        <v>77</v>
      </c>
      <c r="F33" s="18">
        <f>IF(E33="","",IF(E33="是",1,0))</f>
        <v>1</v>
      </c>
      <c r="G33" s="18"/>
      <c r="H33" s="18"/>
      <c r="I33" s="23"/>
      <c r="J33" s="23"/>
    </row>
    <row r="34" ht="22" customHeight="1" spans="1:14">
      <c r="A34" s="24" t="s">
        <v>68</v>
      </c>
      <c r="B34" s="24" t="s">
        <v>88</v>
      </c>
      <c r="C34" s="25" t="s">
        <v>89</v>
      </c>
      <c r="D34" s="7" t="s">
        <v>49</v>
      </c>
      <c r="E34" s="26"/>
      <c r="F34" s="26"/>
      <c r="G34" s="24">
        <f>IF(COUNTA(E28:E33)=0,"",IF(OR(E28&gt;=2,E29="是",E33="是"),2,IF(OR(E28&gt;=1,E30="是",E31="是",E32&gt;14),1,0)))</f>
        <v>2</v>
      </c>
      <c r="H34" s="7" t="str">
        <f>IF(G34="","",IF(G34&gt;=1,"阳性","阴性"))</f>
        <v>阳性</v>
      </c>
    </row>
    <row r="35" ht="24" customHeight="1" spans="1:14">
      <c r="A35" s="27"/>
      <c r="B35" s="27"/>
      <c r="C35" s="27"/>
      <c r="D35" s="27"/>
      <c r="E35" s="28"/>
      <c r="F35" s="27"/>
      <c r="G35" s="27"/>
      <c r="H35" s="27"/>
    </row>
    <row r="36" ht="24" customHeight="1" spans="1:14">
      <c r="A36" s="18" t="s">
        <v>90</v>
      </c>
      <c r="B36" s="18" t="s">
        <v>91</v>
      </c>
      <c r="C36" s="19" t="s">
        <v>92</v>
      </c>
      <c r="D36" s="19" t="s">
        <v>76</v>
      </c>
      <c r="E36" s="21" t="s">
        <v>77</v>
      </c>
      <c r="F36" s="18">
        <f>IF(E36="","",IF(E36="是",0,1))</f>
        <v>0</v>
      </c>
      <c r="G36" s="20" t="s">
        <v>34</v>
      </c>
      <c r="H36" s="20" t="s">
        <v>93</v>
      </c>
      <c r="I36" s="29" t="s">
        <v>94</v>
      </c>
      <c r="J36" s="30"/>
      <c r="K36" s="30"/>
      <c r="L36" s="31" t="s">
        <v>95</v>
      </c>
      <c r="M36" s="32"/>
      <c r="N36" s="32"/>
    </row>
    <row r="37" ht="24" customHeight="1" spans="1:14">
      <c r="A37" s="18" t="s">
        <v>90</v>
      </c>
      <c r="B37" s="18" t="s">
        <v>96</v>
      </c>
      <c r="C37" s="19" t="s">
        <v>97</v>
      </c>
      <c r="D37" s="19" t="s">
        <v>76</v>
      </c>
      <c r="E37" s="21" t="s">
        <v>77</v>
      </c>
      <c r="F37" s="18">
        <f>IF(E37="","",IF(E37="是",0,1))</f>
        <v>0</v>
      </c>
      <c r="G37" s="20"/>
      <c r="H37" s="20"/>
      <c r="I37" s="30"/>
      <c r="J37" s="30"/>
      <c r="K37" s="30"/>
      <c r="L37" s="32"/>
      <c r="M37" s="32"/>
      <c r="N37" s="32"/>
    </row>
    <row r="38" ht="24" customHeight="1" spans="1:14">
      <c r="A38" s="18" t="s">
        <v>90</v>
      </c>
      <c r="B38" s="18" t="s">
        <v>98</v>
      </c>
      <c r="C38" s="19" t="s">
        <v>99</v>
      </c>
      <c r="D38" s="19" t="s">
        <v>100</v>
      </c>
      <c r="E38" s="21">
        <v>3</v>
      </c>
      <c r="F38" s="18">
        <f>IF(E38="","",3-E38)</f>
        <v>0</v>
      </c>
      <c r="G38" s="18"/>
      <c r="H38" s="18"/>
      <c r="I38" s="30"/>
      <c r="J38" s="30"/>
      <c r="K38" s="30"/>
      <c r="L38" s="32"/>
      <c r="M38" s="32"/>
      <c r="N38" s="32"/>
    </row>
    <row r="39" ht="22" customHeight="1" spans="1:14">
      <c r="A39" s="24" t="s">
        <v>90</v>
      </c>
      <c r="B39" s="24" t="s">
        <v>101</v>
      </c>
      <c r="C39" s="25" t="s">
        <v>102</v>
      </c>
      <c r="D39" s="7" t="s">
        <v>49</v>
      </c>
      <c r="E39" s="26"/>
      <c r="F39" s="26"/>
      <c r="G39" s="24">
        <f>IF(COUNTA(E36:E38)=0,"",IF(OR(COUNTIF(E36:E37,"否")&gt;=2,E38=0),2,IF(OR(COUNTIF(E36:E37,"否")=1,E38=1),1,0)))</f>
        <v>0</v>
      </c>
      <c r="H39" s="7" t="str">
        <f>IF(G39="","",IF(G39&gt;=1,"阳性","阴性"))</f>
        <v>阴性</v>
      </c>
    </row>
    <row r="40" ht="24" customHeight="1" spans="1:14">
      <c r="A40" s="27"/>
      <c r="B40" s="27"/>
      <c r="C40" s="27"/>
      <c r="D40" s="27"/>
      <c r="E40" s="28"/>
      <c r="F40" s="27"/>
      <c r="G40" s="27"/>
      <c r="H40" s="27"/>
    </row>
    <row r="41" ht="24" customHeight="1" spans="1:14">
      <c r="A41" s="18" t="s">
        <v>103</v>
      </c>
      <c r="B41" s="18" t="s">
        <v>104</v>
      </c>
      <c r="C41" s="19" t="s">
        <v>105</v>
      </c>
      <c r="D41" s="19" t="s">
        <v>76</v>
      </c>
      <c r="E41" s="21" t="s">
        <v>80</v>
      </c>
      <c r="F41" s="18">
        <f>IF(E41="","",IF(E41="是",1,0))</f>
        <v>0</v>
      </c>
      <c r="G41" s="20" t="s">
        <v>34</v>
      </c>
      <c r="H41" s="20" t="s">
        <v>106</v>
      </c>
      <c r="I41" s="20"/>
      <c r="J41" s="20"/>
      <c r="K41" s="33" t="s">
        <v>107</v>
      </c>
      <c r="L41" s="33"/>
      <c r="M41" s="33"/>
    </row>
    <row r="42" ht="24" customHeight="1" spans="1:14">
      <c r="A42" s="18" t="s">
        <v>103</v>
      </c>
      <c r="B42" s="18" t="s">
        <v>108</v>
      </c>
      <c r="C42" s="19" t="s">
        <v>109</v>
      </c>
      <c r="D42" s="19" t="s">
        <v>76</v>
      </c>
      <c r="E42" s="21" t="s">
        <v>80</v>
      </c>
      <c r="F42" s="18">
        <f>IF(E42="","",IF(E42="是",1,0))</f>
        <v>0</v>
      </c>
      <c r="G42" s="18"/>
      <c r="H42" s="20"/>
      <c r="I42" s="20"/>
      <c r="J42" s="20"/>
      <c r="K42" s="33"/>
      <c r="L42" s="33"/>
      <c r="M42" s="33"/>
    </row>
    <row r="43" ht="22" customHeight="1" spans="1:14">
      <c r="A43" s="24" t="s">
        <v>103</v>
      </c>
      <c r="B43" s="24" t="s">
        <v>110</v>
      </c>
      <c r="C43" s="25" t="s">
        <v>111</v>
      </c>
      <c r="D43" s="7" t="s">
        <v>49</v>
      </c>
      <c r="E43" s="26"/>
      <c r="F43" s="26"/>
      <c r="G43" s="24">
        <f>IF(COUNTA(E41:E42)=0,"",IF(E41="是",2,IF(E42="是",1,0)))</f>
        <v>0</v>
      </c>
      <c r="H43" s="34" t="str">
        <f>IF(G43="","",IF(G43&gt;=1,"阳性","阴性"))</f>
        <v>阴性</v>
      </c>
      <c r="K43" s="35"/>
      <c r="L43" s="35"/>
      <c r="M43" s="35"/>
    </row>
    <row r="44" ht="24" customHeight="1" spans="1:14">
      <c r="A44" s="27"/>
      <c r="B44" s="27"/>
      <c r="C44" s="27"/>
      <c r="D44" s="27"/>
      <c r="E44" s="28"/>
      <c r="F44" s="27"/>
      <c r="G44" s="27"/>
      <c r="H44" s="27"/>
    </row>
    <row r="45" ht="30" customHeight="1" spans="1:14">
      <c r="A45" s="18" t="s">
        <v>112</v>
      </c>
      <c r="B45" s="18" t="s">
        <v>113</v>
      </c>
      <c r="C45" s="19" t="s">
        <v>114</v>
      </c>
      <c r="D45" s="20" t="s">
        <v>115</v>
      </c>
      <c r="E45" s="21" t="s">
        <v>116</v>
      </c>
      <c r="F45" s="18">
        <f>IF(E45="","",IF(E45="无明显影响",0,IF(E45="轻度影响",1,IF(E45="明显影响",2,""))))</f>
        <v>0</v>
      </c>
      <c r="G45" s="20" t="s">
        <v>34</v>
      </c>
      <c r="H45" s="20" t="s">
        <v>117</v>
      </c>
      <c r="I45" s="20"/>
      <c r="J45" s="20"/>
      <c r="K45" s="33" t="s">
        <v>118</v>
      </c>
      <c r="L45" s="33"/>
      <c r="M45" s="33"/>
    </row>
    <row r="46" ht="30" customHeight="1" spans="1:14">
      <c r="A46" s="18" t="s">
        <v>112</v>
      </c>
      <c r="B46" s="18" t="s">
        <v>119</v>
      </c>
      <c r="C46" s="19" t="s">
        <v>120</v>
      </c>
      <c r="D46" s="18"/>
      <c r="E46" s="21" t="s">
        <v>121</v>
      </c>
      <c r="F46" s="18">
        <f>IF(E46="","",IF(E46="无明显影响",0,IF(E46="轻度影响",1,IF(E46="明显影响",2,""))))</f>
        <v>1</v>
      </c>
      <c r="G46" s="18"/>
      <c r="H46" s="20"/>
      <c r="I46" s="20"/>
      <c r="J46" s="20"/>
      <c r="K46" s="33"/>
      <c r="L46" s="33"/>
      <c r="M46" s="33"/>
    </row>
    <row r="47" ht="22" customHeight="1" spans="1:14">
      <c r="A47" s="24" t="s">
        <v>112</v>
      </c>
      <c r="B47" s="24" t="s">
        <v>122</v>
      </c>
      <c r="C47" s="25" t="s">
        <v>123</v>
      </c>
      <c r="D47" s="7" t="s">
        <v>49</v>
      </c>
      <c r="E47" s="26"/>
      <c r="F47" s="26"/>
      <c r="G47" s="24">
        <f>IF(COUNTA(E45:E46)=0,"",IF(OR(F45=2,F46=2,AND(F45&gt;=1,F46&gt;=1)),2,IF(OR(F45=1,F46=1),1,0)))</f>
        <v>1</v>
      </c>
      <c r="H47" s="34" t="str">
        <f>IF(G47="","",IF(G47&gt;=1,"阳性","阴性"))</f>
        <v>阳性</v>
      </c>
    </row>
    <row r="48" ht="24" customHeight="1" spans="1:14">
      <c r="A48" s="27"/>
      <c r="B48" s="27"/>
      <c r="C48" s="27"/>
      <c r="D48" s="27"/>
      <c r="E48" s="28"/>
      <c r="F48" s="27"/>
      <c r="G48" s="27"/>
      <c r="H48" s="27"/>
    </row>
    <row r="49" ht="24" customHeight="1" spans="1:14">
      <c r="A49" s="18" t="s">
        <v>124</v>
      </c>
      <c r="B49" s="18" t="s">
        <v>125</v>
      </c>
      <c r="C49" s="19" t="s">
        <v>126</v>
      </c>
      <c r="D49" s="19" t="s">
        <v>76</v>
      </c>
      <c r="E49" s="21" t="s">
        <v>80</v>
      </c>
      <c r="F49" s="18">
        <f>IF(E49="","",IF(E49="是",1,0))</f>
        <v>0</v>
      </c>
      <c r="G49" s="20" t="s">
        <v>34</v>
      </c>
      <c r="H49" s="20" t="s">
        <v>127</v>
      </c>
      <c r="I49" s="20"/>
      <c r="J49" s="20"/>
      <c r="K49" s="33" t="s">
        <v>128</v>
      </c>
      <c r="L49" s="33"/>
      <c r="M49" s="33"/>
    </row>
    <row r="50" ht="24" customHeight="1" spans="1:14">
      <c r="A50" s="18" t="s">
        <v>124</v>
      </c>
      <c r="B50" s="18" t="s">
        <v>129</v>
      </c>
      <c r="C50" s="19" t="s">
        <v>130</v>
      </c>
      <c r="D50" s="19" t="s">
        <v>76</v>
      </c>
      <c r="E50" s="21" t="s">
        <v>80</v>
      </c>
      <c r="F50" s="18">
        <f>IF(E50="","",IF(E50="是",1,0))</f>
        <v>0</v>
      </c>
      <c r="G50" s="18"/>
      <c r="H50" s="20"/>
      <c r="I50" s="20"/>
      <c r="J50" s="20"/>
      <c r="K50" s="33"/>
      <c r="L50" s="33"/>
      <c r="M50" s="33"/>
    </row>
    <row r="51" ht="22" customHeight="1" spans="1:14">
      <c r="A51" s="24" t="s">
        <v>124</v>
      </c>
      <c r="B51" s="24" t="s">
        <v>131</v>
      </c>
      <c r="C51" s="25" t="s">
        <v>132</v>
      </c>
      <c r="D51" s="7" t="s">
        <v>49</v>
      </c>
      <c r="E51" s="26"/>
      <c r="F51" s="26"/>
      <c r="G51" s="24">
        <f>IF(COUNTA(E49:E50)=0,"",IF(AND(E49="是",E50="是"),2,IF(OR(E49="是",E50="是"),1,0)))</f>
        <v>0</v>
      </c>
      <c r="H51" s="34" t="str">
        <f>IF(G51="","",IF(G51&gt;=1,"阳性","阴性"))</f>
        <v>阴性</v>
      </c>
    </row>
    <row r="52" ht="34" customHeight="1" spans="1:14">
      <c r="A52" s="27"/>
      <c r="B52" s="27"/>
      <c r="C52" s="27"/>
      <c r="D52" s="27"/>
      <c r="E52" s="28"/>
      <c r="F52" s="27"/>
      <c r="G52" s="27"/>
      <c r="H52" s="27"/>
    </row>
    <row r="53" ht="105" customHeight="1" spans="1:14">
      <c r="A53" s="36" t="s">
        <v>133</v>
      </c>
      <c r="B53" s="36" t="s">
        <v>134</v>
      </c>
      <c r="C53" s="37" t="s">
        <v>135</v>
      </c>
      <c r="D53" s="37" t="s">
        <v>136</v>
      </c>
      <c r="E53" s="38" t="s">
        <v>77</v>
      </c>
      <c r="F53" s="36"/>
      <c r="G53" s="36" t="str">
        <f t="shared" ref="G53:G58" si="3">IF(E53="","",IF(E53="是","触发",""))</f>
        <v>触发</v>
      </c>
      <c r="H53" s="39" t="s">
        <v>137</v>
      </c>
      <c r="I53" s="20" t="s">
        <v>138</v>
      </c>
      <c r="J53" s="20"/>
      <c r="K53" s="20"/>
      <c r="L53" s="40" t="s">
        <v>139</v>
      </c>
      <c r="M53" s="40"/>
      <c r="N53" s="40"/>
    </row>
    <row r="54" ht="115" customHeight="1" spans="1:14">
      <c r="A54" s="36" t="s">
        <v>133</v>
      </c>
      <c r="B54" s="36" t="s">
        <v>140</v>
      </c>
      <c r="C54" s="37" t="s">
        <v>141</v>
      </c>
      <c r="D54" s="37" t="s">
        <v>142</v>
      </c>
      <c r="E54" s="38" t="s">
        <v>77</v>
      </c>
      <c r="F54" s="36"/>
      <c r="G54" s="36" t="str">
        <f t="shared" si="3"/>
        <v>触发</v>
      </c>
      <c r="H54" s="39"/>
      <c r="I54" s="20" t="s">
        <v>143</v>
      </c>
      <c r="J54" s="20"/>
      <c r="K54" s="20"/>
      <c r="L54" s="40" t="s">
        <v>144</v>
      </c>
      <c r="M54" s="40"/>
      <c r="N54" s="40"/>
    </row>
    <row r="55" ht="102" customHeight="1" spans="1:14">
      <c r="A55" s="36" t="s">
        <v>133</v>
      </c>
      <c r="B55" s="36" t="s">
        <v>145</v>
      </c>
      <c r="C55" s="37" t="s">
        <v>146</v>
      </c>
      <c r="D55" s="37" t="s">
        <v>147</v>
      </c>
      <c r="E55" s="38" t="s">
        <v>80</v>
      </c>
      <c r="F55" s="36"/>
      <c r="G55" s="36" t="str">
        <f t="shared" si="3"/>
        <v/>
      </c>
      <c r="H55" s="39"/>
      <c r="I55" s="20" t="s">
        <v>148</v>
      </c>
      <c r="J55" s="20"/>
      <c r="K55" s="20"/>
      <c r="L55" s="40" t="s">
        <v>149</v>
      </c>
      <c r="M55" s="40"/>
      <c r="N55" s="40"/>
    </row>
    <row r="56" ht="67" customHeight="1" spans="1:14">
      <c r="A56" s="36" t="s">
        <v>133</v>
      </c>
      <c r="B56" s="36" t="s">
        <v>150</v>
      </c>
      <c r="C56" s="37" t="s">
        <v>151</v>
      </c>
      <c r="D56" s="37" t="s">
        <v>152</v>
      </c>
      <c r="E56" s="38" t="s">
        <v>80</v>
      </c>
      <c r="F56" s="36"/>
      <c r="G56" s="36" t="str">
        <f t="shared" si="3"/>
        <v/>
      </c>
      <c r="H56" s="39"/>
      <c r="I56" s="20" t="s">
        <v>153</v>
      </c>
      <c r="J56" s="20"/>
      <c r="K56" s="20"/>
      <c r="L56" s="40" t="s">
        <v>154</v>
      </c>
      <c r="M56" s="40"/>
      <c r="N56" s="40"/>
    </row>
    <row r="57" ht="98" customHeight="1" spans="1:14">
      <c r="A57" s="36" t="s">
        <v>133</v>
      </c>
      <c r="B57" s="36" t="s">
        <v>155</v>
      </c>
      <c r="C57" s="37" t="s">
        <v>156</v>
      </c>
      <c r="D57" s="37" t="s">
        <v>157</v>
      </c>
      <c r="E57" s="38" t="s">
        <v>80</v>
      </c>
      <c r="F57" s="36"/>
      <c r="G57" s="36" t="str">
        <f t="shared" si="3"/>
        <v/>
      </c>
      <c r="H57" s="39"/>
      <c r="I57" s="20" t="s">
        <v>158</v>
      </c>
      <c r="J57" s="20"/>
      <c r="K57" s="20"/>
      <c r="L57" s="40" t="s">
        <v>159</v>
      </c>
      <c r="M57" s="40"/>
      <c r="N57" s="40"/>
    </row>
    <row r="58" ht="76" customHeight="1" spans="1:14">
      <c r="A58" s="36" t="s">
        <v>133</v>
      </c>
      <c r="B58" s="36" t="s">
        <v>160</v>
      </c>
      <c r="C58" s="37" t="s">
        <v>161</v>
      </c>
      <c r="D58" s="37" t="s">
        <v>162</v>
      </c>
      <c r="E58" s="38" t="s">
        <v>80</v>
      </c>
      <c r="F58" s="36"/>
      <c r="G58" s="36" t="str">
        <f t="shared" si="3"/>
        <v/>
      </c>
      <c r="H58" s="36"/>
      <c r="I58" s="20" t="s">
        <v>163</v>
      </c>
      <c r="J58" s="20"/>
      <c r="K58" s="20"/>
      <c r="L58" s="40" t="s">
        <v>164</v>
      </c>
      <c r="M58" s="40"/>
      <c r="N58" s="40"/>
    </row>
    <row r="59" ht="22" customHeight="1" spans="1:14">
      <c r="A59" s="24" t="s">
        <v>133</v>
      </c>
      <c r="B59" s="24" t="s">
        <v>165</v>
      </c>
      <c r="C59" s="25" t="s">
        <v>166</v>
      </c>
      <c r="D59" s="7" t="s">
        <v>167</v>
      </c>
      <c r="E59" s="26"/>
      <c r="F59" s="26"/>
      <c r="G59" s="24">
        <f>COUNTIF(E53:E58,"是")</f>
        <v>2</v>
      </c>
      <c r="H59" s="7" t="s">
        <v>168</v>
      </c>
    </row>
    <row r="62" spans="1:14">
      <c r="A62" s="41" t="s">
        <v>169</v>
      </c>
      <c r="B62" s="42"/>
      <c r="C62" s="42"/>
      <c r="D62" s="42"/>
      <c r="E62" s="42"/>
      <c r="F62" s="42"/>
      <c r="G62" s="42"/>
      <c r="H62" s="42"/>
    </row>
    <row r="63" spans="1:14">
      <c r="A63" s="42"/>
      <c r="B63" s="42"/>
      <c r="C63" s="42"/>
      <c r="D63" s="42"/>
      <c r="E63" s="42"/>
      <c r="F63" s="42"/>
      <c r="G63" s="42"/>
      <c r="H63" s="42"/>
    </row>
    <row r="64" spans="1:14">
      <c r="A64" s="42"/>
      <c r="B64" s="42"/>
      <c r="C64" s="42"/>
      <c r="D64" s="42"/>
      <c r="E64" s="42"/>
      <c r="F64" s="42"/>
      <c r="G64" s="42"/>
      <c r="H64" s="42"/>
    </row>
    <row r="65" spans="1:8">
      <c r="A65" s="42"/>
      <c r="B65" s="42"/>
      <c r="C65" s="42"/>
      <c r="D65" s="42"/>
      <c r="E65" s="42"/>
      <c r="F65" s="42"/>
      <c r="G65" s="42"/>
      <c r="H65" s="42"/>
    </row>
    <row r="66" spans="1:8">
      <c r="A66" s="42"/>
      <c r="B66" s="42"/>
      <c r="C66" s="42"/>
      <c r="D66" s="42"/>
      <c r="E66" s="42"/>
      <c r="F66" s="42"/>
      <c r="G66" s="42"/>
      <c r="H66" s="42"/>
    </row>
    <row r="67" spans="1:8">
      <c r="A67" s="42"/>
      <c r="B67" s="42"/>
      <c r="C67" s="42"/>
      <c r="D67" s="42"/>
      <c r="E67" s="42"/>
      <c r="F67" s="42"/>
      <c r="G67" s="42"/>
      <c r="H67" s="42"/>
    </row>
    <row r="68" spans="1:8">
      <c r="A68" s="43"/>
      <c r="B68" s="43"/>
      <c r="C68" s="43"/>
      <c r="D68" s="43"/>
      <c r="E68" s="43"/>
      <c r="F68" s="43"/>
      <c r="G68" s="43"/>
      <c r="H68" s="43"/>
    </row>
    <row r="69" spans="1:8">
      <c r="A69" s="43"/>
      <c r="B69" s="43"/>
      <c r="C69" s="43"/>
      <c r="D69" s="43"/>
      <c r="E69" s="43"/>
      <c r="F69" s="43"/>
      <c r="G69" s="43"/>
      <c r="H69" s="43"/>
    </row>
    <row r="70" spans="1:8">
      <c r="A70" s="43"/>
      <c r="B70" s="43"/>
      <c r="C70" s="43"/>
      <c r="D70" s="43"/>
      <c r="E70" s="43"/>
      <c r="F70" s="43"/>
      <c r="G70" s="43"/>
      <c r="H70" s="43"/>
    </row>
  </sheetData>
  <mergeCells count="48">
    <mergeCell ref="A1:H1"/>
    <mergeCell ref="A5:H5"/>
    <mergeCell ref="J5:M5"/>
    <mergeCell ref="K6:M6"/>
    <mergeCell ref="K7:M7"/>
    <mergeCell ref="K8:M8"/>
    <mergeCell ref="K9:M9"/>
    <mergeCell ref="K10:M10"/>
    <mergeCell ref="I53:K53"/>
    <mergeCell ref="L53:N53"/>
    <mergeCell ref="I54:K54"/>
    <mergeCell ref="L54:N54"/>
    <mergeCell ref="I55:K55"/>
    <mergeCell ref="L55:N55"/>
    <mergeCell ref="I56:K56"/>
    <mergeCell ref="L56:N56"/>
    <mergeCell ref="I57:K57"/>
    <mergeCell ref="L57:N57"/>
    <mergeCell ref="I58:K58"/>
    <mergeCell ref="L58:N58"/>
    <mergeCell ref="D12:D17"/>
    <mergeCell ref="D20:D25"/>
    <mergeCell ref="D45:D46"/>
    <mergeCell ref="G12:G17"/>
    <mergeCell ref="G20:G25"/>
    <mergeCell ref="G28:G33"/>
    <mergeCell ref="G36:G38"/>
    <mergeCell ref="G41:G42"/>
    <mergeCell ref="G45:G46"/>
    <mergeCell ref="G49:G50"/>
    <mergeCell ref="H12:H17"/>
    <mergeCell ref="H20:H25"/>
    <mergeCell ref="H28:H33"/>
    <mergeCell ref="H36:H38"/>
    <mergeCell ref="H53:H58"/>
    <mergeCell ref="A2:H3"/>
    <mergeCell ref="I36:K38"/>
    <mergeCell ref="L36:N38"/>
    <mergeCell ref="H41:J42"/>
    <mergeCell ref="K41:M42"/>
    <mergeCell ref="H45:J46"/>
    <mergeCell ref="K45:M46"/>
    <mergeCell ref="H49:J50"/>
    <mergeCell ref="K49:M50"/>
    <mergeCell ref="A62:H67"/>
    <mergeCell ref="I12:J17"/>
    <mergeCell ref="I20:J25"/>
    <mergeCell ref="I28:J33"/>
  </mergeCells>
  <dataValidations count="4">
    <dataValidation type="list" allowBlank="1" sqref="E32 E33 E29:E31 E36:E37 E41:E42 E49:E50 E53:E58">
      <formula1>字典!$A$1:$A$2</formula1>
    </dataValidation>
    <dataValidation type="list" allowBlank="1" sqref="E12:E17">
      <formula1>字典!$B$1:$B$3</formula1>
    </dataValidation>
    <dataValidation type="list" allowBlank="1" sqref="E20:E25">
      <formula1>字典!$C$1:$C$3</formula1>
    </dataValidation>
    <dataValidation type="list" allowBlank="1" sqref="E45:E46">
      <formula1>字典!$D$1:$D$3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C1" sqref="B1:C1"/>
    </sheetView>
  </sheetViews>
  <sheetFormatPr defaultColWidth="9" defaultRowHeight="15" outlineLevelRow="5" outlineLevelCol="5"/>
  <cols>
    <col min="2" max="2" width="20.1428571428571" customWidth="1"/>
  </cols>
  <sheetData>
    <row r="1" spans="1:6">
      <c r="A1" t="s">
        <v>77</v>
      </c>
      <c r="B1" t="s">
        <v>33</v>
      </c>
      <c r="C1" t="s">
        <v>33</v>
      </c>
      <c r="D1" t="s">
        <v>116</v>
      </c>
      <c r="E1" t="s">
        <v>170</v>
      </c>
      <c r="F1" t="s">
        <v>170</v>
      </c>
    </row>
    <row r="2" spans="1:6">
      <c r="A2" t="s">
        <v>80</v>
      </c>
      <c r="B2" t="s">
        <v>171</v>
      </c>
      <c r="C2" t="s">
        <v>172</v>
      </c>
      <c r="D2" t="s">
        <v>121</v>
      </c>
      <c r="E2" t="s">
        <v>173</v>
      </c>
      <c r="F2" t="s">
        <v>174</v>
      </c>
    </row>
    <row r="3" spans="1:6">
      <c r="B3" t="s">
        <v>175</v>
      </c>
      <c r="C3" t="s">
        <v>176</v>
      </c>
      <c r="D3" t="s">
        <v>177</v>
      </c>
      <c r="E3" t="s">
        <v>178</v>
      </c>
    </row>
    <row r="4" spans="1:6">
      <c r="E4" t="s">
        <v>179</v>
      </c>
    </row>
    <row r="5" spans="1:6">
      <c r="E5" t="s">
        <v>180</v>
      </c>
    </row>
    <row r="6" spans="1:6">
      <c r="E6" t="s">
        <v>181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showGridLines="0" workbookViewId="0">
      <selection activeCell="A1" sqref="A1:F1"/>
    </sheetView>
  </sheetViews>
  <sheetFormatPr defaultColWidth="9" defaultRowHeight="15" outlineLevelCol="5"/>
  <cols>
    <col min="1" max="1" width="15" customWidth="1"/>
    <col min="2" max="2" width="34" customWidth="1"/>
    <col min="3" max="3" width="14" customWidth="1"/>
    <col min="4" max="4" width="22" customWidth="1"/>
    <col min="5" max="5" width="24" customWidth="1"/>
    <col min="6" max="6" width="16" customWidth="1"/>
  </cols>
  <sheetData>
    <row r="1" ht="21.75" spans="1:6">
      <c r="A1" s="1" t="s">
        <v>182</v>
      </c>
    </row>
    <row r="3" ht="16.5" spans="1:6">
      <c r="A3" s="3" t="s">
        <v>21</v>
      </c>
      <c r="B3" s="3" t="s">
        <v>183</v>
      </c>
      <c r="C3" s="3" t="s">
        <v>184</v>
      </c>
      <c r="D3" s="3" t="s">
        <v>185</v>
      </c>
      <c r="E3" s="3" t="s">
        <v>186</v>
      </c>
      <c r="F3" s="3" t="s">
        <v>28</v>
      </c>
    </row>
    <row r="4" ht="28" customHeight="1" spans="1:6">
      <c r="A4" s="4" t="s">
        <v>187</v>
      </c>
      <c r="B4" s="4" t="s">
        <v>188</v>
      </c>
      <c r="C4" s="4" t="s">
        <v>189</v>
      </c>
      <c r="D4" s="4" t="s">
        <v>190</v>
      </c>
      <c r="E4" s="4" t="s">
        <v>191</v>
      </c>
      <c r="F4" s="4" t="s">
        <v>192</v>
      </c>
    </row>
    <row r="5" ht="28" customHeight="1" spans="1:6">
      <c r="A5" s="4" t="s">
        <v>193</v>
      </c>
      <c r="B5" s="4" t="s">
        <v>194</v>
      </c>
      <c r="C5" s="4" t="s">
        <v>189</v>
      </c>
      <c r="D5" s="4" t="s">
        <v>195</v>
      </c>
      <c r="E5" s="4" t="s">
        <v>196</v>
      </c>
      <c r="F5" s="4" t="s">
        <v>197</v>
      </c>
    </row>
    <row r="6" ht="28" customHeight="1" spans="1:6">
      <c r="A6" s="4" t="s">
        <v>198</v>
      </c>
      <c r="B6" s="4" t="s">
        <v>199</v>
      </c>
      <c r="C6" s="4" t="s">
        <v>189</v>
      </c>
      <c r="D6" s="4" t="s">
        <v>200</v>
      </c>
      <c r="E6" s="4" t="s">
        <v>201</v>
      </c>
      <c r="F6" s="4" t="s">
        <v>202</v>
      </c>
    </row>
    <row r="7" ht="28" customHeight="1" spans="1:6">
      <c r="A7" s="4" t="s">
        <v>203</v>
      </c>
      <c r="B7" s="4" t="s">
        <v>204</v>
      </c>
      <c r="C7" s="4" t="s">
        <v>189</v>
      </c>
      <c r="D7" s="4" t="s">
        <v>205</v>
      </c>
      <c r="E7" s="4" t="s">
        <v>206</v>
      </c>
      <c r="F7" s="4" t="s">
        <v>207</v>
      </c>
    </row>
    <row r="8" ht="28" customHeight="1" spans="1:6">
      <c r="A8" s="4" t="s">
        <v>208</v>
      </c>
      <c r="B8" s="4" t="s">
        <v>209</v>
      </c>
      <c r="C8" s="4" t="s">
        <v>189</v>
      </c>
      <c r="D8" s="4" t="s">
        <v>210</v>
      </c>
      <c r="E8" s="4" t="s">
        <v>211</v>
      </c>
      <c r="F8" s="4" t="s">
        <v>212</v>
      </c>
    </row>
    <row r="9" ht="28" customHeight="1" spans="1:6">
      <c r="A9" s="4" t="s">
        <v>213</v>
      </c>
      <c r="B9" s="4" t="s">
        <v>214</v>
      </c>
      <c r="C9" s="4" t="s">
        <v>189</v>
      </c>
      <c r="D9" s="4" t="s">
        <v>215</v>
      </c>
      <c r="E9" s="4" t="s">
        <v>216</v>
      </c>
      <c r="F9" s="4" t="s">
        <v>217</v>
      </c>
    </row>
    <row r="10" ht="28" customHeight="1" spans="1:6">
      <c r="A10" s="4" t="s">
        <v>218</v>
      </c>
      <c r="B10" s="4" t="s">
        <v>219</v>
      </c>
      <c r="C10" s="4" t="s">
        <v>189</v>
      </c>
      <c r="D10" s="4" t="s">
        <v>220</v>
      </c>
      <c r="E10" s="4" t="s">
        <v>221</v>
      </c>
      <c r="F10" s="4" t="s">
        <v>222</v>
      </c>
    </row>
    <row r="11" ht="28" customHeight="1" spans="1:6">
      <c r="A11" s="4" t="s">
        <v>223</v>
      </c>
      <c r="B11" s="4" t="s">
        <v>224</v>
      </c>
      <c r="C11" s="4" t="s">
        <v>225</v>
      </c>
      <c r="D11" s="4" t="s">
        <v>226</v>
      </c>
      <c r="E11" s="4" t="s">
        <v>227</v>
      </c>
      <c r="F11" s="4" t="s">
        <v>228</v>
      </c>
    </row>
  </sheetData>
  <mergeCells count="1">
    <mergeCell ref="A1:F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showGridLines="0" workbookViewId="0">
      <selection activeCell="A1" sqref="A1:H1"/>
    </sheetView>
  </sheetViews>
  <sheetFormatPr defaultColWidth="9" defaultRowHeight="15" outlineLevelCol="7"/>
  <cols>
    <col min="1" max="2" width="20" customWidth="1"/>
    <col min="3" max="3" width="16" customWidth="1"/>
    <col min="4" max="4" width="12" customWidth="1"/>
    <col min="5" max="5" width="24" customWidth="1"/>
    <col min="6" max="6" width="10" customWidth="1"/>
    <col min="7" max="7" width="22" customWidth="1"/>
    <col min="8" max="8" width="18" customWidth="1"/>
  </cols>
  <sheetData>
    <row r="1" ht="21.75" spans="1:8">
      <c r="A1" s="1" t="s">
        <v>229</v>
      </c>
    </row>
    <row r="3" ht="16.5" spans="1:8">
      <c r="A3" s="3" t="s">
        <v>230</v>
      </c>
      <c r="B3" s="3" t="s">
        <v>231</v>
      </c>
      <c r="C3" s="3" t="s">
        <v>21</v>
      </c>
      <c r="D3" s="3" t="s">
        <v>232</v>
      </c>
      <c r="E3" s="3" t="s">
        <v>233</v>
      </c>
      <c r="F3" s="3" t="s">
        <v>234</v>
      </c>
      <c r="G3" s="3" t="s">
        <v>235</v>
      </c>
      <c r="H3" s="3" t="s">
        <v>28</v>
      </c>
    </row>
    <row r="4" ht="28" customHeight="1" spans="1:8">
      <c r="A4" s="4" t="s">
        <v>236</v>
      </c>
      <c r="B4" s="4" t="s">
        <v>4</v>
      </c>
      <c r="C4" s="4" t="s">
        <v>237</v>
      </c>
      <c r="D4" s="4" t="s">
        <v>238</v>
      </c>
      <c r="E4" s="4" t="s">
        <v>239</v>
      </c>
      <c r="F4" s="4" t="s">
        <v>80</v>
      </c>
      <c r="G4" s="4" t="s">
        <v>170</v>
      </c>
      <c r="H4" s="4" t="s">
        <v>240</v>
      </c>
    </row>
    <row r="5" ht="28" customHeight="1" spans="1:8">
      <c r="A5" s="4" t="s">
        <v>241</v>
      </c>
      <c r="B5" s="4" t="s">
        <v>5</v>
      </c>
      <c r="C5" s="4" t="s">
        <v>237</v>
      </c>
      <c r="D5" s="4" t="s">
        <v>242</v>
      </c>
      <c r="E5" s="4" t="s">
        <v>243</v>
      </c>
      <c r="F5" s="4" t="s">
        <v>80</v>
      </c>
      <c r="G5" s="4" t="s">
        <v>170</v>
      </c>
      <c r="H5" s="4" t="s">
        <v>240</v>
      </c>
    </row>
    <row r="6" ht="28" customHeight="1" spans="1:8">
      <c r="A6" s="4" t="s">
        <v>244</v>
      </c>
      <c r="B6" s="4" t="s">
        <v>245</v>
      </c>
      <c r="C6" s="4" t="s">
        <v>187</v>
      </c>
      <c r="D6" s="4" t="s">
        <v>246</v>
      </c>
      <c r="E6" s="4" t="s">
        <v>247</v>
      </c>
      <c r="F6" s="4" t="s">
        <v>77</v>
      </c>
      <c r="G6" s="4" t="s">
        <v>248</v>
      </c>
      <c r="H6" s="4" t="s">
        <v>240</v>
      </c>
    </row>
    <row r="7" ht="28" customHeight="1" spans="1:8">
      <c r="A7" s="4" t="s">
        <v>249</v>
      </c>
      <c r="B7" s="4" t="s">
        <v>250</v>
      </c>
      <c r="C7" s="4" t="s">
        <v>187</v>
      </c>
      <c r="D7" s="4" t="s">
        <v>246</v>
      </c>
      <c r="E7" s="4" t="s">
        <v>247</v>
      </c>
      <c r="F7" s="4" t="s">
        <v>77</v>
      </c>
      <c r="G7" s="4" t="s">
        <v>248</v>
      </c>
      <c r="H7" s="4" t="s">
        <v>240</v>
      </c>
    </row>
    <row r="8" ht="28" customHeight="1" spans="1:8">
      <c r="A8" s="4" t="s">
        <v>251</v>
      </c>
      <c r="B8" s="4" t="s">
        <v>252</v>
      </c>
      <c r="C8" s="4" t="s">
        <v>193</v>
      </c>
      <c r="D8" s="4" t="s">
        <v>246</v>
      </c>
      <c r="E8" s="4" t="s">
        <v>253</v>
      </c>
      <c r="F8" s="4" t="s">
        <v>77</v>
      </c>
      <c r="G8" s="4" t="s">
        <v>248</v>
      </c>
      <c r="H8" s="4" t="s">
        <v>240</v>
      </c>
    </row>
    <row r="9" ht="28" customHeight="1" spans="1:8">
      <c r="A9" s="4" t="s">
        <v>254</v>
      </c>
      <c r="B9" s="4" t="s">
        <v>70</v>
      </c>
      <c r="C9" s="4" t="s">
        <v>198</v>
      </c>
      <c r="D9" s="4" t="s">
        <v>255</v>
      </c>
      <c r="E9" s="4" t="s">
        <v>256</v>
      </c>
      <c r="F9" s="4" t="s">
        <v>77</v>
      </c>
      <c r="G9" s="4" t="s">
        <v>257</v>
      </c>
      <c r="H9" s="4" t="s">
        <v>240</v>
      </c>
    </row>
    <row r="10" ht="28" customHeight="1" spans="1:8">
      <c r="A10" s="4" t="s">
        <v>258</v>
      </c>
      <c r="B10" s="4" t="s">
        <v>259</v>
      </c>
      <c r="C10" s="4" t="s">
        <v>198</v>
      </c>
      <c r="D10" s="4" t="s">
        <v>260</v>
      </c>
      <c r="E10" s="4" t="s">
        <v>76</v>
      </c>
      <c r="F10" s="4" t="s">
        <v>77</v>
      </c>
      <c r="G10" s="4" t="s">
        <v>261</v>
      </c>
      <c r="H10" s="4" t="s">
        <v>240</v>
      </c>
    </row>
    <row r="11" ht="28" customHeight="1" spans="1:8">
      <c r="A11" s="4" t="s">
        <v>262</v>
      </c>
      <c r="B11" s="4" t="s">
        <v>263</v>
      </c>
      <c r="C11" s="4" t="s">
        <v>198</v>
      </c>
      <c r="D11" s="4" t="s">
        <v>264</v>
      </c>
      <c r="E11" s="4" t="s">
        <v>265</v>
      </c>
      <c r="F11" s="4" t="s">
        <v>77</v>
      </c>
      <c r="G11" s="4" t="s">
        <v>266</v>
      </c>
      <c r="H11" s="4" t="s">
        <v>240</v>
      </c>
    </row>
    <row r="12" ht="28" customHeight="1" spans="1:8">
      <c r="A12" s="4" t="s">
        <v>267</v>
      </c>
      <c r="B12" s="4" t="s">
        <v>268</v>
      </c>
      <c r="C12" s="4" t="s">
        <v>203</v>
      </c>
      <c r="D12" s="4" t="s">
        <v>260</v>
      </c>
      <c r="E12" s="4" t="s">
        <v>76</v>
      </c>
      <c r="F12" s="4" t="s">
        <v>77</v>
      </c>
      <c r="G12" s="4" t="s">
        <v>269</v>
      </c>
      <c r="H12" s="4" t="s">
        <v>240</v>
      </c>
    </row>
    <row r="13" ht="28" customHeight="1" spans="1:8">
      <c r="A13" s="4" t="s">
        <v>270</v>
      </c>
      <c r="B13" s="4" t="s">
        <v>99</v>
      </c>
      <c r="C13" s="4" t="s">
        <v>203</v>
      </c>
      <c r="D13" s="4" t="s">
        <v>255</v>
      </c>
      <c r="E13" s="4" t="s">
        <v>271</v>
      </c>
      <c r="F13" s="4" t="s">
        <v>77</v>
      </c>
      <c r="G13" s="4" t="s">
        <v>272</v>
      </c>
      <c r="H13" s="4" t="s">
        <v>240</v>
      </c>
    </row>
    <row r="14" ht="28" customHeight="1" spans="1:8">
      <c r="A14" s="4" t="s">
        <v>273</v>
      </c>
      <c r="B14" s="4" t="s">
        <v>274</v>
      </c>
      <c r="C14" s="4" t="s">
        <v>208</v>
      </c>
      <c r="D14" s="4" t="s">
        <v>260</v>
      </c>
      <c r="E14" s="4" t="s">
        <v>76</v>
      </c>
      <c r="F14" s="4" t="s">
        <v>77</v>
      </c>
      <c r="G14" s="4" t="s">
        <v>261</v>
      </c>
      <c r="H14" s="4" t="s">
        <v>240</v>
      </c>
    </row>
    <row r="15" ht="28" customHeight="1" spans="1:8">
      <c r="A15" s="4" t="s">
        <v>275</v>
      </c>
      <c r="B15" s="4" t="s">
        <v>276</v>
      </c>
      <c r="C15" s="4" t="s">
        <v>213</v>
      </c>
      <c r="D15" s="4" t="s">
        <v>246</v>
      </c>
      <c r="E15" s="4" t="s">
        <v>277</v>
      </c>
      <c r="F15" s="4" t="s">
        <v>77</v>
      </c>
      <c r="G15" s="4" t="s">
        <v>248</v>
      </c>
      <c r="H15" s="4" t="s">
        <v>240</v>
      </c>
    </row>
    <row r="16" ht="28" customHeight="1" spans="1:8">
      <c r="A16" s="4" t="s">
        <v>278</v>
      </c>
      <c r="B16" s="4" t="s">
        <v>279</v>
      </c>
      <c r="C16" s="4" t="s">
        <v>218</v>
      </c>
      <c r="D16" s="4" t="s">
        <v>260</v>
      </c>
      <c r="E16" s="4" t="s">
        <v>76</v>
      </c>
      <c r="F16" s="4" t="s">
        <v>77</v>
      </c>
      <c r="G16" s="4" t="s">
        <v>280</v>
      </c>
      <c r="H16" s="4" t="s">
        <v>240</v>
      </c>
    </row>
    <row r="17" ht="28" customHeight="1" spans="1:8">
      <c r="A17" s="4" t="s">
        <v>281</v>
      </c>
      <c r="B17" s="4" t="s">
        <v>282</v>
      </c>
      <c r="C17" s="4" t="s">
        <v>283</v>
      </c>
      <c r="D17" s="4" t="s">
        <v>260</v>
      </c>
      <c r="E17" s="4" t="s">
        <v>76</v>
      </c>
      <c r="F17" s="4" t="s">
        <v>80</v>
      </c>
      <c r="G17" s="4" t="s">
        <v>284</v>
      </c>
      <c r="H17" s="4" t="s">
        <v>240</v>
      </c>
    </row>
    <row r="18" ht="28" customHeight="1" spans="1:8">
      <c r="A18" s="4" t="s">
        <v>285</v>
      </c>
      <c r="B18" s="4" t="s">
        <v>286</v>
      </c>
      <c r="C18" s="4" t="s">
        <v>283</v>
      </c>
      <c r="D18" s="4" t="s">
        <v>260</v>
      </c>
      <c r="E18" s="4" t="s">
        <v>76</v>
      </c>
      <c r="F18" s="4" t="s">
        <v>80</v>
      </c>
      <c r="G18" s="4" t="s">
        <v>287</v>
      </c>
      <c r="H18" s="4" t="s">
        <v>240</v>
      </c>
    </row>
  </sheetData>
  <mergeCells count="1">
    <mergeCell ref="A1:H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showGridLines="0" topLeftCell="A2" workbookViewId="0">
      <selection activeCell="A1" sqref="A1:G1"/>
    </sheetView>
  </sheetViews>
  <sheetFormatPr defaultColWidth="9" defaultRowHeight="15" outlineLevelCol="6"/>
  <cols>
    <col min="1" max="1" width="18" customWidth="1"/>
    <col min="2" max="2" width="22" customWidth="1"/>
    <col min="3" max="3" width="30" customWidth="1"/>
    <col min="4" max="4" width="44" customWidth="1"/>
    <col min="5" max="5" width="24" customWidth="1"/>
    <col min="6" max="6" width="10" customWidth="1"/>
    <col min="7" max="7" width="22" customWidth="1"/>
  </cols>
  <sheetData>
    <row r="1" ht="21.75" spans="1:7">
      <c r="A1" s="1" t="s">
        <v>288</v>
      </c>
    </row>
    <row r="2" ht="99" spans="1:7">
      <c r="A2" s="2" t="s">
        <v>289</v>
      </c>
    </row>
    <row r="3" ht="16.5" spans="1:7">
      <c r="A3" s="3" t="s">
        <v>290</v>
      </c>
      <c r="B3" s="3" t="s">
        <v>291</v>
      </c>
      <c r="C3" s="3" t="s">
        <v>292</v>
      </c>
      <c r="D3" s="3" t="s">
        <v>293</v>
      </c>
      <c r="E3" s="3" t="s">
        <v>294</v>
      </c>
      <c r="F3" s="3" t="s">
        <v>295</v>
      </c>
      <c r="G3" s="3" t="s">
        <v>28</v>
      </c>
    </row>
    <row r="4" ht="28" customHeight="1" spans="1:7">
      <c r="A4" s="4" t="s">
        <v>296</v>
      </c>
      <c r="B4" s="4" t="s">
        <v>297</v>
      </c>
      <c r="C4" s="4" t="s">
        <v>298</v>
      </c>
      <c r="D4" s="4" t="s">
        <v>299</v>
      </c>
      <c r="E4" s="4" t="s">
        <v>300</v>
      </c>
      <c r="F4" s="5" t="s">
        <v>301</v>
      </c>
      <c r="G4" s="4" t="s">
        <v>302</v>
      </c>
    </row>
    <row r="5" ht="28" customHeight="1" spans="1:7">
      <c r="A5" s="4" t="s">
        <v>303</v>
      </c>
      <c r="B5" s="4" t="s">
        <v>304</v>
      </c>
      <c r="C5" s="4" t="s">
        <v>305</v>
      </c>
      <c r="D5" s="4" t="s">
        <v>306</v>
      </c>
      <c r="E5" s="4" t="s">
        <v>307</v>
      </c>
      <c r="F5" s="6" t="s">
        <v>308</v>
      </c>
      <c r="G5" s="4" t="s">
        <v>309</v>
      </c>
    </row>
    <row r="6" ht="28" customHeight="1" spans="1:7">
      <c r="A6" s="4" t="s">
        <v>310</v>
      </c>
      <c r="B6" s="4" t="s">
        <v>311</v>
      </c>
      <c r="C6" s="4" t="s">
        <v>312</v>
      </c>
      <c r="D6" s="4" t="s">
        <v>313</v>
      </c>
      <c r="E6" s="4" t="s">
        <v>314</v>
      </c>
      <c r="F6" s="7" t="s">
        <v>315</v>
      </c>
      <c r="G6" s="4" t="s">
        <v>316</v>
      </c>
    </row>
    <row r="7" ht="28" customHeight="1" spans="1:7">
      <c r="A7" s="4" t="s">
        <v>317</v>
      </c>
      <c r="B7" s="4" t="s">
        <v>318</v>
      </c>
      <c r="C7" s="4" t="s">
        <v>319</v>
      </c>
      <c r="D7" s="4" t="s">
        <v>320</v>
      </c>
      <c r="E7" s="4" t="s">
        <v>321</v>
      </c>
      <c r="F7" s="7" t="s">
        <v>315</v>
      </c>
      <c r="G7" s="4" t="s">
        <v>322</v>
      </c>
    </row>
    <row r="8" ht="28" customHeight="1" spans="1:7">
      <c r="A8" s="4" t="s">
        <v>323</v>
      </c>
      <c r="B8" s="4" t="s">
        <v>324</v>
      </c>
      <c r="C8" s="4" t="s">
        <v>325</v>
      </c>
      <c r="D8" s="4" t="s">
        <v>326</v>
      </c>
      <c r="E8" s="4" t="s">
        <v>327</v>
      </c>
      <c r="F8" s="7" t="s">
        <v>315</v>
      </c>
      <c r="G8" s="4" t="s">
        <v>328</v>
      </c>
    </row>
    <row r="9" ht="28" customHeight="1" spans="1:7">
      <c r="A9" s="4" t="s">
        <v>329</v>
      </c>
      <c r="B9" s="4" t="s">
        <v>330</v>
      </c>
      <c r="C9" s="4" t="s">
        <v>331</v>
      </c>
      <c r="D9" s="4" t="s">
        <v>332</v>
      </c>
      <c r="E9" s="4" t="s">
        <v>333</v>
      </c>
      <c r="F9" s="7" t="s">
        <v>315</v>
      </c>
      <c r="G9" s="4" t="s">
        <v>334</v>
      </c>
    </row>
    <row r="10" ht="28" customHeight="1" spans="1:7">
      <c r="A10" s="4" t="s">
        <v>335</v>
      </c>
      <c r="B10" s="4" t="s">
        <v>336</v>
      </c>
      <c r="C10" s="4" t="s">
        <v>337</v>
      </c>
      <c r="D10" s="4" t="s">
        <v>338</v>
      </c>
      <c r="E10" s="4" t="s">
        <v>339</v>
      </c>
      <c r="F10" s="7" t="s">
        <v>315</v>
      </c>
      <c r="G10" s="4" t="s">
        <v>340</v>
      </c>
    </row>
    <row r="11" ht="28" customHeight="1" spans="1:7">
      <c r="A11" s="4" t="s">
        <v>341</v>
      </c>
      <c r="B11" s="4" t="s">
        <v>342</v>
      </c>
      <c r="C11" s="4" t="s">
        <v>343</v>
      </c>
      <c r="D11" s="4" t="s">
        <v>344</v>
      </c>
      <c r="E11" s="4" t="s">
        <v>345</v>
      </c>
      <c r="F11" s="7" t="s">
        <v>315</v>
      </c>
      <c r="G11" s="4" t="s">
        <v>346</v>
      </c>
    </row>
    <row r="12" ht="28" customHeight="1" spans="1:7">
      <c r="A12" s="4" t="s">
        <v>347</v>
      </c>
      <c r="B12" s="4" t="s">
        <v>348</v>
      </c>
      <c r="C12" s="4" t="s">
        <v>349</v>
      </c>
      <c r="D12" s="4" t="s">
        <v>350</v>
      </c>
      <c r="E12" s="4" t="s">
        <v>351</v>
      </c>
      <c r="F12" s="7" t="s">
        <v>315</v>
      </c>
      <c r="G12" s="4" t="s">
        <v>352</v>
      </c>
    </row>
    <row r="13" ht="28" customHeight="1" spans="1:7">
      <c r="A13" s="4" t="s">
        <v>353</v>
      </c>
      <c r="B13" s="4" t="s">
        <v>354</v>
      </c>
      <c r="C13" s="4" t="s">
        <v>355</v>
      </c>
      <c r="D13" s="4" t="s">
        <v>356</v>
      </c>
      <c r="E13" s="4" t="s">
        <v>357</v>
      </c>
      <c r="F13" s="6" t="s">
        <v>308</v>
      </c>
      <c r="G13" s="4" t="s">
        <v>358</v>
      </c>
    </row>
    <row r="14" ht="28" customHeight="1" spans="1:7">
      <c r="A14" s="4" t="s">
        <v>359</v>
      </c>
      <c r="B14" s="4" t="s">
        <v>354</v>
      </c>
      <c r="C14" s="4" t="s">
        <v>360</v>
      </c>
      <c r="D14" s="4" t="s">
        <v>361</v>
      </c>
      <c r="E14" s="4" t="s">
        <v>362</v>
      </c>
      <c r="F14" s="6" t="s">
        <v>308</v>
      </c>
      <c r="G14" s="4" t="s">
        <v>363</v>
      </c>
    </row>
    <row r="15" ht="28" customHeight="1" spans="1:7">
      <c r="A15" s="4" t="s">
        <v>364</v>
      </c>
      <c r="B15" s="4" t="s">
        <v>365</v>
      </c>
      <c r="C15" s="4" t="s">
        <v>366</v>
      </c>
      <c r="D15" s="4" t="s">
        <v>367</v>
      </c>
      <c r="E15" s="4" t="s">
        <v>368</v>
      </c>
      <c r="F15" s="6" t="s">
        <v>308</v>
      </c>
      <c r="G15" s="4" t="s">
        <v>369</v>
      </c>
    </row>
    <row r="16" ht="28" customHeight="1" spans="1:7">
      <c r="A16" s="4" t="s">
        <v>370</v>
      </c>
      <c r="B16" s="4" t="s">
        <v>371</v>
      </c>
      <c r="C16" s="4" t="s">
        <v>372</v>
      </c>
      <c r="D16" s="4" t="s">
        <v>373</v>
      </c>
      <c r="E16" s="4" t="s">
        <v>374</v>
      </c>
      <c r="F16" s="6" t="s">
        <v>308</v>
      </c>
      <c r="G16" s="4" t="s">
        <v>375</v>
      </c>
    </row>
    <row r="17" ht="28" customHeight="1" spans="1:7">
      <c r="A17" s="4" t="s">
        <v>376</v>
      </c>
      <c r="B17" s="4" t="s">
        <v>377</v>
      </c>
      <c r="C17" s="4" t="s">
        <v>378</v>
      </c>
      <c r="D17" s="4" t="s">
        <v>379</v>
      </c>
      <c r="E17" s="4" t="s">
        <v>380</v>
      </c>
      <c r="F17" s="7" t="s">
        <v>315</v>
      </c>
      <c r="G17" s="4" t="s">
        <v>381</v>
      </c>
    </row>
  </sheetData>
  <mergeCells count="1">
    <mergeCell ref="A1:G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填写版</vt:lpstr>
      <vt:lpstr>字典</vt:lpstr>
      <vt:lpstr>评分规则</vt:lpstr>
      <vt:lpstr>产品字段</vt:lpstr>
      <vt:lpstr>证据与合规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LC</cp:lastModifiedBy>
  <dcterms:created xsi:type="dcterms:W3CDTF">2026-03-21T13:54:59Z</dcterms:created>
  <dcterms:modified xsi:type="dcterms:W3CDTF">2026-03-21T15:08:49Z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CalculationRule">
    <vt:i4>0</vt:i4>
  </property>
  <property fmtid="{D5CDD505-2E9C-101B-9397-08002B2CF9AE}" pid="4" name="ICV">
    <vt:lpwstr>9CF2DE6C3980423D9AA063A06A15E17B_13</vt:lpwstr>
  </property>
</Properties>
</file>