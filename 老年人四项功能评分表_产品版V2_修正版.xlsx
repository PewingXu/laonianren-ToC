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使用说明" sheetId="1" r:id="rId1"/>
    <sheet name="录入与AI结论" sheetId="2" r:id="rId2"/>
    <sheet name="四项评分规则" sheetId="3" r:id="rId3"/>
    <sheet name="老人版报告模板" sheetId="4" r:id="rId4"/>
    <sheet name="依据来源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<sst xmlns="http://schemas.openxmlformats.org/spreadsheetml/2006/main" count="212" uniqueCount="165">
  <si>
    <t>使用说明</t>
  </si>
  <si>
    <t>1）黄色单元格为手动录入项；绿色单元格为自动计算结果。</t>
  </si>
  <si>
    <t>2）B4 请选择性别；B8 输入最大握力；B12 输入步速；B16 输入5次起坐时间；B20-B22 输入静态站立数据。</t>
  </si>
  <si>
    <t>用于社区/居家场景下的功能状态初筛，不作为疾病诊断。核心输出为：握力、步态、静态站立、起坐四项得分，总分，以及老人能看懂的AI评估结论。</t>
  </si>
  <si>
    <t>3）本文件已修复循环引用问题，综合总分、等级与AI结论均可自动生成。</t>
  </si>
  <si>
    <t>1）用已发表指南或量表作为“红线锚点”；2）产品得分采用分层表达，避免把筛查结果包装成诊断；3）静态站立类指标因设备/姿势/采样协议差异较大，应优先用本设备同龄常模分位或重复测评趋势，不硬套绝对阈值。</t>
  </si>
  <si>
    <t>4）本表用于社区/居家老人功能初筛与健康提示，不作为临床诊断结论。</t>
  </si>
  <si>
    <t>80–100：整体表现较好；60–79：轻度关注；40–59：中度关注；&lt;40：高度关注。若任何单项触发指南红线，应在AI结论中优先提示，即使总分不低。</t>
  </si>
  <si>
    <t>5）评分依据主要参考 AWGS 2019、SPPB 等公开共识/工具。</t>
  </si>
  <si>
    <t>握力 25分；步态 25分；静态站立 25分；起坐 25分。</t>
  </si>
  <si>
    <t>社区居家老年人四项功能初筛｜录入与自动评分</t>
  </si>
  <si>
    <t>基础信息</t>
  </si>
  <si>
    <t/>
  </si>
  <si>
    <t>姓名</t>
  </si>
  <si>
    <t>测试日期</t>
  </si>
  <si>
    <t>性别（男/女）</t>
  </si>
  <si>
    <t>男</t>
  </si>
  <si>
    <t>年龄</t>
  </si>
  <si>
    <t>身高cm</t>
  </si>
  <si>
    <t>体重kg</t>
  </si>
  <si>
    <t>一、握力评估</t>
  </si>
  <si>
    <t>最大握力（kg）</t>
  </si>
  <si>
    <t>握力/性别阈值比</t>
  </si>
  <si>
    <t>握力得分（25）</t>
  </si>
  <si>
    <t>握力提示</t>
  </si>
  <si>
    <t>二、步态评估</t>
  </si>
  <si>
    <t>日常步速（m/s）</t>
  </si>
  <si>
    <t>可由4米/6米步行时间换算</t>
  </si>
  <si>
    <t>速度=距离/时间</t>
  </si>
  <si>
    <t>步态得分（25）</t>
  </si>
  <si>
    <t>步态提示</t>
  </si>
  <si>
    <t>三、起坐评估</t>
  </si>
  <si>
    <t>5次起坐时间（秒）</t>
  </si>
  <si>
    <t>是否≥12秒</t>
  </si>
  <si>
    <t>起坐得分（25）</t>
  </si>
  <si>
    <t>起坐提示</t>
  </si>
  <si>
    <t>四、静态站立评估</t>
  </si>
  <si>
    <t>四阶段平衡等级（0-4）</t>
  </si>
  <si>
    <t>说明</t>
  </si>
  <si>
    <t>0=不能完成；4=串联站立≥10秒</t>
  </si>
  <si>
    <t>COP稳态分位（0-100，越高越稳）</t>
  </si>
  <si>
    <t>建议来自本设备同龄常模库/重复测评趋势</t>
  </si>
  <si>
    <t>四阶段平衡等级</t>
  </si>
  <si>
    <t>左右负荷偏移绝对值（%）</t>
  </si>
  <si>
    <t>例如左右压力比55:45，则填10</t>
  </si>
  <si>
    <t>| **0** | 不能安全完成第一阶段，或测试中止 | 平衡能力较差，需重点关注 |</t>
  </si>
  <si>
    <t>四阶段平衡得分（10）</t>
  </si>
  <si>
    <t>COP分位得分（10）</t>
  </si>
  <si>
    <t>| **1** | 可双脚并拢站立 10 秒     | 基础站立能力尚可     |</t>
  </si>
  <si>
    <t>负荷对称得分（5）</t>
  </si>
  <si>
    <t>静态站立得分（25）</t>
  </si>
  <si>
    <t>| **2** | 可半串联站立 10 秒      | 有一定平衡控制能力    |</t>
  </si>
  <si>
    <t>| **3** | 可脚跟脚尖一条线站立 10 秒  | 达到较关键的平衡筛查要求 |</t>
  </si>
  <si>
    <t>综合结果</t>
  </si>
  <si>
    <t>| **4** | 可单脚站立 10 秒       | 平衡能力较好       |</t>
  </si>
  <si>
    <t>握力分</t>
  </si>
  <si>
    <t>步态分</t>
  </si>
  <si>
    <t>起坐分</t>
  </si>
  <si>
    <t>静态站立分</t>
  </si>
  <si>
    <t>总分</t>
  </si>
  <si>
    <t>等级</t>
  </si>
  <si>
    <t>AI老人版结论</t>
  </si>
  <si>
    <t>建议输出</t>
  </si>
  <si>
    <t>四项评分规则与依据说明</t>
  </si>
  <si>
    <t>模块</t>
  </si>
  <si>
    <t>核心指标</t>
  </si>
  <si>
    <t>满分</t>
  </si>
  <si>
    <t>评分规则</t>
  </si>
  <si>
    <t>产品解释边界</t>
  </si>
  <si>
    <t>主要依据</t>
  </si>
  <si>
    <t>握力</t>
  </si>
  <si>
    <t>最大握力kg；按性别阈值换算比值R</t>
  </si>
  <si>
    <t>R≥1.10：25分；1.00≤R&lt;1.10：20分；0.85≤R&lt;1.00：15分；0.70≤R&lt;0.85：10分；R&lt;0.70：5分。男性阈值28kg，女性阈值18kg作为低握力锚点。</t>
  </si>
  <si>
    <t>低于阈值提示肌少症风险，不等同于诊断；分层评分为产品表达，用于风险沟通和复测比较。</t>
  </si>
  <si>
    <t>AWGS 2019；中国/亚洲肌少症筛查常用阈值</t>
  </si>
  <si>
    <t>步态</t>
  </si>
  <si>
    <t>日常步行速度m/s</t>
  </si>
  <si>
    <t>≥1.0：25分；0.80–0.99：20分；0.60–0.79：15分；0.43–0.59：10分；&lt;0.43或不能完成：5分。</t>
  </si>
  <si>
    <t>1.0m/s作为亚洲肌少症低体能红线；0.8/0.6/0.43参考SPPB步速分层，适合做功能下降分级。</t>
  </si>
  <si>
    <t>AWGS 2019；SPPB</t>
  </si>
  <si>
    <t>起坐</t>
  </si>
  <si>
    <t>5次起坐时间秒</t>
  </si>
  <si>
    <t>≤11.19：25分；11.20–13.69：20分；13.70–16.69：15分；16.70–60：10分；&gt;60或不能完成：5分。另：≥12秒触发下肢功能关注。</t>
  </si>
  <si>
    <t>起坐反映下肢力量、动作控制和转移能力；若出现膝髋疼痛、头晕、需扶手，应在报告中单独提示。</t>
  </si>
  <si>
    <t>SPPB五次起坐分层；AWGS 2019使用5次起坐≥12秒作为体能表现下降参考</t>
  </si>
  <si>
    <t>静态站立</t>
  </si>
  <si>
    <t>四阶段平衡等级 + COP稳态分位 + 左右负荷偏移</t>
  </si>
  <si>
    <t>四阶段平衡0–4级换算10分；COP稳态分位≥75/50–74/25–49/&lt;25分别为10/8/5/2分；左右负荷偏移≤10/10–20/20–30/&gt;30%分别为5/3/1/0分。</t>
  </si>
  <si>
    <t>COP绝对阈值受设备、站姿、睁闭眼、采样时长影响，不建议硬套其他文献阈值；应建立本设备同龄常模库。左右负荷偏移为工程提示项，不作为内外翻或疾病诊断。</t>
  </si>
  <si>
    <t>CDC STEADI四阶段平衡；静态姿势图/CoP跌倒风险研究与综述</t>
  </si>
  <si>
    <t>综合结论</t>
  </si>
  <si>
    <t>四项合计100分 + 单项红线</t>
  </si>
  <si>
    <t>总分≥80整体较好；60–79轻度关注；40–59中度关注；&lt;40高度关注。若任一单项≤15或触发外部红线，等级提升为“重点关注”。</t>
  </si>
  <si>
    <t>综合结论应写成“提示/建议进一步评估”，避免写成“诊断为肌少症/跌倒高危”。</t>
  </si>
  <si>
    <t>老年跌倒风险指南、肌少症筛查共识、SPPB/STEADI框架</t>
  </si>
  <si>
    <t>老人能看懂的总结评估报告模板</t>
  </si>
  <si>
    <t>报告区块</t>
  </si>
  <si>
    <t>建议标题</t>
  </si>
  <si>
    <t>可直接使用的文字</t>
  </si>
  <si>
    <t>注意事项</t>
  </si>
  <si>
    <t>开头</t>
  </si>
  <si>
    <t>本次评估看什么</t>
  </si>
  <si>
    <t>本次评估主要看四件事：手有没有力气、走路快不快、站得稳不稳、从椅子上站起来是否吃力。这些能力和日常生活自理、外出安全、跌倒风险有关。</t>
  </si>
  <si>
    <t>不要写“确诊”。</t>
  </si>
  <si>
    <t>单项解释-握力</t>
  </si>
  <si>
    <t>手劲反映肌肉储备</t>
  </si>
  <si>
    <t>握力越低，通常提示全身肌肉力量储备越少。如果握力偏低，建议关注蛋白摄入、抗阻训练和是否存在明显消瘦、乏力。</t>
  </si>
  <si>
    <t>结合性别阈值解释。</t>
  </si>
  <si>
    <t>单项解释-步态</t>
  </si>
  <si>
    <t>走路速度反映行动能力</t>
  </si>
  <si>
    <t>步行速度偏慢，可能说明腿部力量、平衡或心肺耐力下降。走路明显变慢的人，外出时更要注意台阶、湿滑地面和夜间行走安全。</t>
  </si>
  <si>
    <t>用“可能/提示”，避免绝对化。</t>
  </si>
  <si>
    <t>单项解释-静态站立</t>
  </si>
  <si>
    <t>站得稳不稳看防跌倒能力</t>
  </si>
  <si>
    <t>站立时身体晃动越大、左右受力越不均，说明保持身体稳定可能更费力。若站立稳定性偏弱，建议做安全的平衡训练，并检查家中防滑和照明。</t>
  </si>
  <si>
    <t>COP按本设备常模或复测趋势解释。</t>
  </si>
  <si>
    <t>单项解释-起坐</t>
  </si>
  <si>
    <t>起坐反映下肢力量</t>
  </si>
  <si>
    <t>从椅子上站起来越慢，越可能提示大腿和臀部力量不足，日常从沙发、马桶、床边起身时也更容易吃力。</t>
  </si>
  <si>
    <t>如疼痛/扶手/头晕需单独提示。</t>
  </si>
  <si>
    <t>AI综合评估结论</t>
  </si>
  <si>
    <t>本次综合得分为【XX分】，等级为【XX】。主要需要关注的是【最低分项目】。建议结合近期有没有跌倒、慢病用药、营养摄入和运动习惯，由医护人员进一步判断。</t>
  </si>
  <si>
    <t>这一段可由Excel自动生成。</t>
  </si>
  <si>
    <t>建议</t>
  </si>
  <si>
    <t>下一步怎么做</t>
  </si>
  <si>
    <t>整体较好：保持规律活动，6–12个月复测。轻度关注：增加力量和平衡训练，1–3个月复测。中度/高度关注：建议进一步做肌少症、跌倒风险和营养评估，必要时由康复/临床人员制定干预计划。</t>
  </si>
  <si>
    <t>建议分层，不承诺治疗效果。</t>
  </si>
  <si>
    <t>依据来源与使用方式</t>
  </si>
  <si>
    <t>序号</t>
  </si>
  <si>
    <t>来源</t>
  </si>
  <si>
    <t>用于支持</t>
  </si>
  <si>
    <t>链接/DOI</t>
  </si>
  <si>
    <t>备注</t>
  </si>
  <si>
    <t>Asian Working Group for Sarcopenia 2019 consensus update</t>
  </si>
  <si>
    <t>握力阈值：男&lt;28kg、女&lt;18kg；体能表现下降参考：6m步速&lt;1.0m/s、5次起坐≥12s等</t>
  </si>
  <si>
    <t>https://pmc.ncbi.nlm.nih.gov/articles/PMC7028025/</t>
  </si>
  <si>
    <t>作为亚洲/中国社区筛查最适合的核心锚点</t>
  </si>
  <si>
    <t>EWGSOP2: revised European consensus on sarcopenia</t>
  </si>
  <si>
    <t>支持“肌力是肌少症筛查核心入口”，同时强调体能表现用于严重程度/功能判断</t>
  </si>
  <si>
    <t>https://academic.oup.com/ageing/article/48/1/16/5126243</t>
  </si>
  <si>
    <t>可用于产品医学逻辑背书</t>
  </si>
  <si>
    <t>Short Physical Performance Battery, SPPB</t>
  </si>
  <si>
    <t>步速、平衡、五次起坐的分层评分框架</t>
  </si>
  <si>
    <t>https://geriatrictoolkit.missouri.edu/SPPB-Score-Tool.pdf</t>
  </si>
  <si>
    <t>评分分层来源；不同版本表述略有差异</t>
  </si>
  <si>
    <t>CDC STEADI 4-Stage Balance Test</t>
  </si>
  <si>
    <t>静态平衡筛查；串联站立不足10秒提示跌倒风险增加</t>
  </si>
  <si>
    <t>https://www.cdc.gov/steadi/media/pdfs/STEADI-Assessment-4Stage-508.pdf</t>
  </si>
  <si>
    <t>适合社区/居家防跌倒初筛</t>
  </si>
  <si>
    <t>CDC STEADI 30-Second Chair Stand</t>
  </si>
  <si>
    <t>起坐/下肢力量与耐力测试流程</t>
  </si>
  <si>
    <t>https://www.cdc.gov/steadi/media/pdfs/STEADI-Assessment-30Sec-508.pdf</t>
  </si>
  <si>
    <t>若产品后续加入30秒起坐次数，可据此扩展</t>
  </si>
  <si>
    <t>Howcroft et al., PLOS ONE 2017</t>
  </si>
  <si>
    <t>支持COP/静态姿势图可用于老人跌倒风险筛查；强调睁眼/闭眼与RQ指标价值</t>
  </si>
  <si>
    <t>https://doi.org/10.1371/journal.pone.0172398</t>
  </si>
  <si>
    <t>COP绝对阈值受设备与协议影响，建议本设备校准</t>
  </si>
  <si>
    <t>Quijoux et al., Sensors 2021</t>
  </si>
  <si>
    <t>支持COP变量用于量化静态平衡/跌倒风险，但指标多、协议差异明显</t>
  </si>
  <si>
    <t>https://pmc.ncbi.nlm.nih.gov/articles/PMC8623280/</t>
  </si>
  <si>
    <t>用于解释为何需要同设备常模</t>
  </si>
  <si>
    <t>World Guidelines for Falls Prevention and Management for Older Adults, 2022</t>
  </si>
  <si>
    <t>支持多维度跌倒风险筛查和干预建议</t>
  </si>
  <si>
    <t>https://academic.oup.com/ageing/article/51/9/afac205/6730755</t>
  </si>
  <si>
    <t>用于报告建议和防跌倒教育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</si>
</sst>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0000"/>
      <name val="Microsoft YaHei"/>
      <charset val="134"/>
    </font>
    <font>
      <b/>
      <sz val="10"/>
      <color rgb="FF000000"/>
      <name val="Microsoft YaHei"/>
      <charset val="134"/>
    </font>
    <font>
      <sz val="10"/>
      <color rgb="FF000000"/>
      <name val="Microsoft YaHei"/>
      <charset val="134"/>
    </font>
    <font>
      <b/>
      <sz val="13"/>
      <name val="宋体"/>
      <charset val="134"/>
      <scheme val="minor"/>
    </font>
    <font>
      <sz val="22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2" xfId="0" applyFont="1" applyFill="1" applyBorder="1"/>
    <xf numFmtId="0" fontId="5" fillId="2" borderId="3" xfId="0" applyFont="1" applyFill="1" applyBorder="1"/>
    <xf numFmtId="0" fontId="1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4" borderId="4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5" borderId="4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wrapText="1"/>
    </xf>
    <xf numFmtId="0" fontId="7" fillId="6" borderId="0" xfId="0" applyFont="1" applyFill="1" applyAlignment="1">
      <alignment wrapText="1"/>
    </xf>
    <xf numFmtId="0" fontId="7" fillId="6" borderId="1" xfId="0" applyFont="1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showGridLines="0" workbookViewId="0">
      <pane ySplit="1" topLeftCell="A2" activePane="bottomLeft" state="frozen"/>
      <selection/>
      <selection pane="bottomLeft" activeCell="A1" sqref="A1:F1"/>
    </sheetView>
  </sheetViews>
  <sheetFormatPr defaultColWidth="9" defaultRowHeight="13.5" outlineLevelRow="5" outlineLevelCol="5"/>
  <cols>
    <col min="1" max="1" width="80" customWidth="1"/>
    <col min="2" max="2" width="100" customWidth="1"/>
    <col min="3" max="6" width="18" customWidth="1"/>
  </cols>
  <sheetData>
    <row r="1" ht="24" customHeight="1" spans="1:6">
      <c r="A1" s="22" t="s">
        <v>0</v>
      </c>
      <c r="B1" s="2"/>
      <c r="C1" s="2"/>
      <c r="D1" s="2"/>
      <c r="E1" s="2"/>
      <c r="F1" s="3"/>
    </row>
    <row r="2" ht="36" customHeight="1" spans="1:6">
      <c r="A2" s="23" t="s">
        <v>1</v>
      </c>
      <c r="B2" s="4"/>
      <c r="C2" s="4"/>
      <c r="D2" s="4"/>
      <c r="E2" s="4"/>
      <c r="F2" s="4"/>
    </row>
    <row r="3" ht="36" customHeight="1" spans="1:6">
      <c r="A3" s="24" t="s">
        <v>2</v>
      </c>
      <c r="B3" s="6" t="s">
        <v>3</v>
      </c>
      <c r="C3" s="4"/>
      <c r="D3" s="4"/>
      <c r="E3" s="4"/>
      <c r="F3" s="4"/>
    </row>
    <row r="4" ht="36" customHeight="1" spans="1:6">
      <c r="A4" s="24" t="s">
        <v>4</v>
      </c>
      <c r="B4" s="6" t="s">
        <v>5</v>
      </c>
      <c r="C4" s="4"/>
      <c r="D4" s="4"/>
      <c r="E4" s="4"/>
      <c r="F4" s="4"/>
    </row>
    <row r="5" ht="36" customHeight="1" spans="1:6">
      <c r="A5" s="24" t="s">
        <v>6</v>
      </c>
      <c r="B5" s="6" t="s">
        <v>7</v>
      </c>
      <c r="C5" s="4"/>
      <c r="D5" s="4"/>
      <c r="E5" s="4"/>
      <c r="F5" s="4"/>
    </row>
    <row r="6" ht="36" customHeight="1" spans="1:6">
      <c r="A6" s="24" t="s">
        <v>8</v>
      </c>
      <c r="B6" s="6" t="s">
        <v>9</v>
      </c>
      <c r="C6" s="4"/>
      <c r="D6" s="4"/>
      <c r="E6" s="4"/>
      <c r="F6" s="4"/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showGridLines="0" tabSelected="1" zoomScale="115" zoomScaleNormal="115" workbookViewId="0">
      <pane ySplit="6" topLeftCell="A15" activePane="bottomLeft" state="frozen"/>
      <selection/>
      <selection pane="bottomLeft" activeCell="K17" sqref="K17"/>
    </sheetView>
  </sheetViews>
  <sheetFormatPr defaultColWidth="9" defaultRowHeight="13.5"/>
  <cols>
    <col min="1" max="1" width="24" customWidth="1"/>
    <col min="2" max="2" width="22" customWidth="1"/>
    <col min="3" max="3" width="24" customWidth="1"/>
    <col min="4" max="4" width="48" customWidth="1"/>
  </cols>
  <sheetData>
    <row r="1" ht="24" customHeight="1" spans="1:4">
      <c r="A1" s="7" t="s">
        <v>10</v>
      </c>
      <c r="B1" s="8"/>
      <c r="C1" s="8"/>
      <c r="D1" s="9"/>
    </row>
    <row r="2" ht="34" customHeight="1" spans="1:4">
      <c r="A2" s="10" t="s">
        <v>11</v>
      </c>
      <c r="B2" s="10" t="s">
        <v>12</v>
      </c>
      <c r="C2" s="10" t="s">
        <v>12</v>
      </c>
      <c r="D2" s="10" t="s">
        <v>12</v>
      </c>
    </row>
    <row r="3" ht="34" customHeight="1" spans="1:4">
      <c r="A3" s="11" t="s">
        <v>13</v>
      </c>
      <c r="B3" s="11" t="s">
        <v>12</v>
      </c>
      <c r="C3" s="11" t="s">
        <v>14</v>
      </c>
      <c r="D3" s="12"/>
    </row>
    <row r="4" ht="34" customHeight="1" spans="1:4">
      <c r="A4" s="11" t="s">
        <v>15</v>
      </c>
      <c r="B4" s="12" t="s">
        <v>16</v>
      </c>
      <c r="C4" s="11" t="s">
        <v>17</v>
      </c>
      <c r="D4" s="12" t="s">
        <v>12</v>
      </c>
    </row>
    <row r="5" ht="34" customHeight="1" spans="1:4">
      <c r="A5" s="11" t="s">
        <v>18</v>
      </c>
      <c r="B5" s="12" t="s">
        <v>12</v>
      </c>
      <c r="C5" s="11" t="s">
        <v>19</v>
      </c>
      <c r="D5" s="12" t="s">
        <v>12</v>
      </c>
    </row>
    <row r="6" ht="34" customHeight="1" spans="1:4">
      <c r="A6" s="11" t="s">
        <v>12</v>
      </c>
      <c r="B6" s="11" t="s">
        <v>12</v>
      </c>
      <c r="C6" s="11" t="s">
        <v>12</v>
      </c>
      <c r="D6" s="11" t="s">
        <v>12</v>
      </c>
    </row>
    <row r="7" ht="34" customHeight="1" spans="1:4">
      <c r="A7" s="10" t="s">
        <v>20</v>
      </c>
      <c r="B7" s="10" t="s">
        <v>12</v>
      </c>
      <c r="C7" s="10" t="s">
        <v>12</v>
      </c>
      <c r="D7" s="10" t="s">
        <v>12</v>
      </c>
    </row>
    <row r="8" ht="34" customHeight="1" spans="1:4">
      <c r="A8" s="11" t="s">
        <v>21</v>
      </c>
      <c r="B8" s="12">
        <v>20</v>
      </c>
      <c r="C8" s="11" t="s">
        <v>22</v>
      </c>
      <c r="D8" s="13">
        <f>IF(OR(B8="",B4=""),"",IF(B4="男",B8/28,IF(B4="女",B8/18,"")))</f>
        <v>0.714285714285714</v>
      </c>
    </row>
    <row r="9" ht="34" customHeight="1" spans="1:4">
      <c r="A9" s="11" t="s">
        <v>23</v>
      </c>
      <c r="B9" s="13">
        <f>IF(D8="","",IF(D8&gt;=1.1,25,IF(D8&gt;=1,20,IF(D8&gt;=0.85,15,IF(D8&gt;=0.7,10,5)))))</f>
        <v>10</v>
      </c>
      <c r="C9" s="11" t="s">
        <v>24</v>
      </c>
      <c r="D9" s="13" t="str">
        <f>IF(B9="","",IF(B9&gt;=20,"握力表现尚可",IF(B9&gt;=15,"握力略低，建议关注肌肉力量","握力偏低，建议进一步评估肌少症风险")))</f>
        <v>握力偏低，建议进一步评估肌少症风险</v>
      </c>
    </row>
    <row r="10" ht="34" customHeight="1" spans="1:4">
      <c r="A10" s="11" t="s">
        <v>12</v>
      </c>
      <c r="B10" s="11" t="s">
        <v>12</v>
      </c>
      <c r="C10" s="11" t="s">
        <v>12</v>
      </c>
      <c r="D10" s="11" t="s">
        <v>12</v>
      </c>
    </row>
    <row r="11" ht="34" customHeight="1" spans="1:4">
      <c r="A11" s="10" t="s">
        <v>25</v>
      </c>
      <c r="B11" s="10" t="s">
        <v>12</v>
      </c>
      <c r="C11" s="10" t="s">
        <v>12</v>
      </c>
      <c r="D11" s="10" t="s">
        <v>12</v>
      </c>
    </row>
    <row r="12" ht="34" customHeight="1" spans="1:4">
      <c r="A12" s="11" t="s">
        <v>26</v>
      </c>
      <c r="B12" s="12">
        <v>4</v>
      </c>
      <c r="C12" s="11" t="s">
        <v>27</v>
      </c>
      <c r="D12" s="11" t="s">
        <v>28</v>
      </c>
    </row>
    <row r="13" ht="34" customHeight="1" spans="1:4">
      <c r="A13" s="11" t="s">
        <v>29</v>
      </c>
      <c r="B13" s="13">
        <f>IF(B12="","",IF(B12&gt;=1,25,IF(B12&gt;=0.8,20,IF(B12&gt;=0.6,15,IF(B12&gt;=0.43,10,5)))))</f>
        <v>25</v>
      </c>
      <c r="C13" s="11" t="s">
        <v>30</v>
      </c>
      <c r="D13" s="13" t="str">
        <f>IF(B13="","",IF(B12&gt;=1,"步行速度表现较好",IF(B12&gt;=0.8,"步行速度轻度下降",IF(B12&gt;=0.6,"步行速度下降，需关注外出安全","步行速度明显偏慢，建议进一步评估跌倒风险"))))</f>
        <v>步行速度表现较好</v>
      </c>
    </row>
    <row r="14" ht="34" customHeight="1" spans="1:4">
      <c r="A14" s="11" t="s">
        <v>12</v>
      </c>
      <c r="B14" s="11" t="s">
        <v>12</v>
      </c>
      <c r="C14" s="11" t="s">
        <v>12</v>
      </c>
      <c r="D14" s="11" t="s">
        <v>12</v>
      </c>
    </row>
    <row r="15" ht="34" customHeight="1" spans="1:4">
      <c r="A15" s="10" t="s">
        <v>31</v>
      </c>
      <c r="B15" s="10" t="s">
        <v>12</v>
      </c>
      <c r="C15" s="10" t="s">
        <v>12</v>
      </c>
      <c r="D15" s="10" t="s">
        <v>12</v>
      </c>
    </row>
    <row r="16" ht="34" customHeight="1" spans="1:4">
      <c r="A16" s="11" t="s">
        <v>32</v>
      </c>
      <c r="B16" s="12">
        <v>10</v>
      </c>
      <c r="C16" s="11" t="s">
        <v>33</v>
      </c>
      <c r="D16" s="13" t="str">
        <f>IF(B16="","",IF(B16&gt;=12,"是：触发下肢功能关注","否"))</f>
        <v>否</v>
      </c>
    </row>
    <row r="17" ht="34" customHeight="1" spans="1:14">
      <c r="A17" s="11" t="s">
        <v>34</v>
      </c>
      <c r="B17" s="13">
        <f>IF(B16="","",IF(B16&lt;=11.19,25,IF(B16&lt;=13.69,20,IF(B16&lt;=16.69,15,IF(B16&lt;=60,10,5)))))</f>
        <v>25</v>
      </c>
      <c r="C17" s="11" t="s">
        <v>35</v>
      </c>
      <c r="D17" s="13" t="str">
        <f>IF(B17="","",IF(B16&lt;12,"起坐能力尚可",IF(B16&lt;=16.69,"起坐速度偏慢，提示下肢功能下降","起坐明显困难，建议进一步评估下肢力量和平衡能力")))</f>
        <v>起坐能力尚可</v>
      </c>
    </row>
    <row r="18" ht="34" customHeight="1" spans="1:14">
      <c r="A18" s="11" t="s">
        <v>12</v>
      </c>
      <c r="B18" s="11" t="s">
        <v>12</v>
      </c>
      <c r="C18" s="11" t="s">
        <v>12</v>
      </c>
      <c r="D18" s="11" t="s">
        <v>12</v>
      </c>
    </row>
    <row r="19" ht="34" customHeight="1" spans="1:14">
      <c r="A19" s="10" t="s">
        <v>36</v>
      </c>
      <c r="B19" s="10" t="s">
        <v>12</v>
      </c>
      <c r="C19" s="10" t="s">
        <v>12</v>
      </c>
      <c r="D19" s="10" t="s">
        <v>12</v>
      </c>
    </row>
    <row r="20" ht="34" customHeight="1" spans="1:14">
      <c r="A20" s="14" t="s">
        <v>37</v>
      </c>
      <c r="B20" s="15">
        <v>4</v>
      </c>
      <c r="C20" s="14" t="s">
        <v>38</v>
      </c>
      <c r="D20" s="14" t="s">
        <v>39</v>
      </c>
    </row>
    <row r="21" ht="34" customHeight="1" spans="1:14">
      <c r="A21" s="11" t="s">
        <v>40</v>
      </c>
      <c r="B21" s="12">
        <v>80</v>
      </c>
      <c r="C21" s="11" t="s">
        <v>38</v>
      </c>
      <c r="D21" s="11" t="s">
        <v>41</v>
      </c>
      <c r="G21" s="16" t="s">
        <v>42</v>
      </c>
      <c r="H21" s="17"/>
      <c r="I21" s="17"/>
      <c r="J21" s="17"/>
      <c r="K21" s="17"/>
      <c r="L21" s="17"/>
      <c r="M21" s="17"/>
      <c r="N21" s="17"/>
    </row>
    <row r="22" ht="34" customHeight="1" spans="1:14">
      <c r="A22" s="11" t="s">
        <v>43</v>
      </c>
      <c r="B22" s="12">
        <v>10</v>
      </c>
      <c r="C22" s="11" t="s">
        <v>38</v>
      </c>
      <c r="D22" s="11" t="s">
        <v>44</v>
      </c>
      <c r="G22" t="s">
        <v>45</v>
      </c>
    </row>
    <row r="23" ht="34" customHeight="1" spans="1:14">
      <c r="A23" s="11" t="s">
        <v>46</v>
      </c>
      <c r="B23" s="13">
        <f>IF(B20="","",B20/4*10)</f>
        <v>10</v>
      </c>
      <c r="C23" s="11" t="s">
        <v>47</v>
      </c>
      <c r="D23" s="13">
        <f>IF(B21="","",IF(B21&gt;=75,10,IF(B21&gt;=50,8,IF(B21&gt;=25,5,2))))</f>
        <v>10</v>
      </c>
      <c r="G23" t="s">
        <v>48</v>
      </c>
    </row>
    <row r="24" ht="34" customHeight="1" spans="1:14">
      <c r="A24" s="11" t="s">
        <v>49</v>
      </c>
      <c r="B24" s="13">
        <f>IF(B22="","",IF(B22&lt;=10,5,IF(B22&lt;=20,3,IF(B22&lt;=30,1,0))))</f>
        <v>5</v>
      </c>
      <c r="C24" s="11" t="s">
        <v>50</v>
      </c>
      <c r="D24" s="18">
        <f>IF(COUNTA(B23,D23,B24)&lt;3,"",B23+D23+B24)</f>
        <v>25</v>
      </c>
      <c r="G24" t="s">
        <v>51</v>
      </c>
    </row>
    <row r="25" ht="34" customHeight="1" spans="1:14">
      <c r="A25" s="11" t="s">
        <v>12</v>
      </c>
      <c r="B25" s="11" t="s">
        <v>12</v>
      </c>
      <c r="C25" s="11" t="s">
        <v>12</v>
      </c>
      <c r="D25" s="11">
        <f>D24</f>
        <v>25</v>
      </c>
      <c r="G25" t="s">
        <v>52</v>
      </c>
    </row>
    <row r="26" ht="34" customHeight="1" spans="1:14">
      <c r="A26" s="10" t="s">
        <v>53</v>
      </c>
      <c r="B26" s="10" t="s">
        <v>12</v>
      </c>
      <c r="C26" s="10" t="s">
        <v>12</v>
      </c>
      <c r="D26" s="10" t="s">
        <v>12</v>
      </c>
      <c r="G26" t="s">
        <v>54</v>
      </c>
    </row>
    <row r="27" ht="34" customHeight="1" spans="1:14">
      <c r="A27" s="14" t="s">
        <v>55</v>
      </c>
      <c r="B27" s="19">
        <f>B9</f>
        <v>10</v>
      </c>
      <c r="C27" s="14" t="s">
        <v>56</v>
      </c>
      <c r="D27" s="19">
        <f>B13</f>
        <v>25</v>
      </c>
    </row>
    <row r="28" ht="34" customHeight="1" spans="1:14">
      <c r="A28" s="11" t="s">
        <v>57</v>
      </c>
      <c r="B28" s="13">
        <f>B17</f>
        <v>25</v>
      </c>
      <c r="C28" s="11" t="s">
        <v>58</v>
      </c>
      <c r="D28" s="13">
        <f>D25</f>
        <v>25</v>
      </c>
    </row>
    <row r="29" ht="34" customHeight="1" spans="1:14">
      <c r="A29" s="11" t="s">
        <v>59</v>
      </c>
      <c r="B29" s="13">
        <f>IF(COUNTA(B27,D27,B28,D28)&lt;4,"",SUM(B27,D27,B28,D28))</f>
        <v>85</v>
      </c>
      <c r="C29" s="11" t="s">
        <v>60</v>
      </c>
      <c r="D29" s="18" t="str">
        <f>IF(B29="","",IF(OR(B9&lt;=15,B13&lt;=15,B17&lt;=15,D28&lt;=15),"重点关注",IF(B29&gt;=80,"整体较好",IF(B29&gt;=60,"轻度关注",IF(B29&gt;=40,"中度关注","高度关注")))))</f>
        <v>重点关注</v>
      </c>
    </row>
    <row r="30" ht="166" customHeight="1" spans="1:14">
      <c r="A30" s="11" t="s">
        <v>61</v>
      </c>
      <c r="B30" s="20" t="str">
        <f>IF(B29="","请先完整录入四项数据。","本次综合得分为 "&amp;ROUND(B29,0)&amp;" 分，等级为【"&amp;D29&amp;"】。"&amp;IF(B9&lt;=15,"握力偏低，提示肌肉力量储备不足；","握力表现尚可；")&amp;IF(B13&lt;=15,"步行速度偏慢，外出行走和跌倒风险需关注；","步行速度表现尚可；")&amp;IF(D28&lt;=15,"站立稳定性偏弱，建议注意防跌倒；","站立稳定性表现尚可；")&amp;IF(B17&lt;=15,"起坐速度偏慢，提示下肢力量和功能下降；","起坐能力表现尚可；")&amp;"建议结合近期跌倒史、慢病、用药、营养情况，由医护人员或康复人员进一步判断。")</f>
        <v>本次综合得分为 85 分，等级为【重点关注】。握力偏低，提示肌肉力量储备不足；步行速度表现尚可；站立稳定性表现尚可；起坐能力表现尚可；建议结合近期跌倒史、慢病、用药、营养情况，由医护人员或康复人员进一步判断。</v>
      </c>
      <c r="C30" s="11" t="s">
        <v>12</v>
      </c>
      <c r="D30" s="11" t="s">
        <v>12</v>
      </c>
    </row>
    <row r="31" ht="48" customHeight="1" spans="1:14">
      <c r="A31" s="11" t="s">
        <v>62</v>
      </c>
      <c r="B31" s="20" t="str">
        <f>IF(B29="","",IF(D29="整体较好","建议保持规律步行、抗阻训练和平衡训练，每6–12个月复测一次。",IF(D29="轻度关注","建议增加下肢力量和平衡训练，1–3个月复测；如近期有跌倒或明显乏力，应进一步评估。",IF(D29="中度关注","建议进行肌少症/跌倒风险进一步筛查，并制定力量、平衡和营养干预计划。","建议尽快联系医护或康复专业人员进行综合评估，避免独自进行高风险活动。"))))</f>
        <v>建议尽快联系医护或康复专业人员进行综合评估，避免独自进行高风险活动。</v>
      </c>
      <c r="C31" s="11" t="s">
        <v>12</v>
      </c>
      <c r="D31" s="11" t="s">
        <v>12</v>
      </c>
    </row>
    <row r="32" ht="34" customHeight="1" spans="1:14">
      <c r="A32" s="11"/>
      <c r="B32" s="11"/>
      <c r="C32" s="11"/>
      <c r="D32" s="11"/>
    </row>
    <row r="33" ht="34" customHeight="1" spans="1:4">
      <c r="A33" s="21"/>
      <c r="B33" s="21"/>
      <c r="C33" s="11"/>
      <c r="D33" s="11"/>
    </row>
    <row r="34" ht="34" customHeight="1" spans="1:4">
      <c r="A34" s="21"/>
      <c r="B34" s="21"/>
      <c r="C34" s="11"/>
      <c r="D34" s="11"/>
    </row>
  </sheetData>
  <mergeCells count="2">
    <mergeCell ref="A1:D1"/>
    <mergeCell ref="G21:N21"/>
  </mergeCells>
  <dataValidations count="2">
    <dataValidation type="decimal" operator="greaterThanOrEqual" allowBlank="1" sqref="D3 D4 B5 D5 B8 B12 B16 B20 B21 B22">
      <formula1>0</formula1>
    </dataValidation>
    <dataValidation type="list" allowBlank="1" prompt="请选择性别：男 或 女" sqref="B4">
      <formula1>"男,女"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showGridLines="0" workbookViewId="0">
      <pane ySplit="1" topLeftCell="A2" activePane="bottomLeft" state="frozen"/>
      <selection/>
      <selection pane="bottomLeft" activeCell="A1" sqref="A1:F1"/>
    </sheetView>
  </sheetViews>
  <sheetFormatPr defaultColWidth="9" defaultRowHeight="13.5" outlineLevelRow="7" outlineLevelCol="5"/>
  <cols>
    <col min="1" max="1" width="18" customWidth="1"/>
    <col min="2" max="2" width="28" customWidth="1"/>
    <col min="3" max="3" width="18" customWidth="1"/>
    <col min="4" max="4" width="72" customWidth="1"/>
    <col min="5" max="5" width="65" customWidth="1"/>
    <col min="6" max="6" width="44" customWidth="1"/>
  </cols>
  <sheetData>
    <row r="1" spans="1:6">
      <c r="A1" s="1" t="s">
        <v>63</v>
      </c>
      <c r="B1" s="2"/>
      <c r="C1" s="2"/>
      <c r="D1" s="2"/>
      <c r="E1" s="2"/>
      <c r="F1" s="3"/>
    </row>
    <row r="2" ht="16.5" spans="1:6">
      <c r="A2" s="4"/>
      <c r="B2" s="4"/>
      <c r="C2" s="4"/>
      <c r="D2" s="4"/>
      <c r="E2" s="4"/>
      <c r="F2" s="4"/>
    </row>
    <row r="3" ht="16.5" spans="1:6">
      <c r="A3" s="5" t="s">
        <v>64</v>
      </c>
      <c r="B3" s="5" t="s">
        <v>65</v>
      </c>
      <c r="C3" s="5" t="s">
        <v>66</v>
      </c>
      <c r="D3" s="5" t="s">
        <v>67</v>
      </c>
      <c r="E3" s="5" t="s">
        <v>68</v>
      </c>
      <c r="F3" s="5" t="s">
        <v>69</v>
      </c>
    </row>
    <row r="4" ht="100" customHeight="1" spans="1:6">
      <c r="A4" s="6" t="s">
        <v>70</v>
      </c>
      <c r="B4" s="6" t="s">
        <v>71</v>
      </c>
      <c r="C4" s="6">
        <v>25</v>
      </c>
      <c r="D4" s="6" t="s">
        <v>72</v>
      </c>
      <c r="E4" s="6" t="s">
        <v>73</v>
      </c>
      <c r="F4" s="6" t="s">
        <v>74</v>
      </c>
    </row>
    <row r="5" ht="100" customHeight="1" spans="1:6">
      <c r="A5" s="6" t="s">
        <v>75</v>
      </c>
      <c r="B5" s="6" t="s">
        <v>76</v>
      </c>
      <c r="C5" s="6">
        <v>25</v>
      </c>
      <c r="D5" s="6" t="s">
        <v>77</v>
      </c>
      <c r="E5" s="6" t="s">
        <v>78</v>
      </c>
      <c r="F5" s="6" t="s">
        <v>79</v>
      </c>
    </row>
    <row r="6" ht="100" customHeight="1" spans="1:6">
      <c r="A6" s="6" t="s">
        <v>80</v>
      </c>
      <c r="B6" s="6" t="s">
        <v>81</v>
      </c>
      <c r="C6" s="6">
        <v>25</v>
      </c>
      <c r="D6" s="6" t="s">
        <v>82</v>
      </c>
      <c r="E6" s="6" t="s">
        <v>83</v>
      </c>
      <c r="F6" s="6" t="s">
        <v>84</v>
      </c>
    </row>
    <row r="7" ht="100" customHeight="1" spans="1:6">
      <c r="A7" s="6" t="s">
        <v>85</v>
      </c>
      <c r="B7" s="6" t="s">
        <v>86</v>
      </c>
      <c r="C7" s="6">
        <v>25</v>
      </c>
      <c r="D7" s="6" t="s">
        <v>87</v>
      </c>
      <c r="E7" s="6" t="s">
        <v>88</v>
      </c>
      <c r="F7" s="6" t="s">
        <v>89</v>
      </c>
    </row>
    <row r="8" ht="100" customHeight="1" spans="1:6">
      <c r="A8" s="6" t="s">
        <v>90</v>
      </c>
      <c r="B8" s="6" t="s">
        <v>91</v>
      </c>
      <c r="C8" s="6">
        <v>100</v>
      </c>
      <c r="D8" s="6" t="s">
        <v>92</v>
      </c>
      <c r="E8" s="6" t="s">
        <v>93</v>
      </c>
      <c r="F8" s="6" t="s">
        <v>94</v>
      </c>
    </row>
  </sheetData>
  <mergeCells count="1">
    <mergeCell ref="A1:F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showGridLines="0" workbookViewId="0">
      <pane ySplit="1" topLeftCell="A2" activePane="bottomLeft" state="frozen"/>
      <selection/>
      <selection pane="bottomLeft" activeCell="A1" sqref="A1:D1"/>
    </sheetView>
  </sheetViews>
  <sheetFormatPr defaultColWidth="9" defaultRowHeight="13.5" outlineLevelCol="3"/>
  <cols>
    <col min="1" max="1" width="18" customWidth="1"/>
    <col min="2" max="2" width="24" customWidth="1"/>
    <col min="3" max="3" width="90" customWidth="1"/>
    <col min="4" max="4" width="38" customWidth="1"/>
  </cols>
  <sheetData>
    <row r="1" spans="1:4">
      <c r="A1" s="1" t="s">
        <v>95</v>
      </c>
      <c r="B1" s="2"/>
      <c r="C1" s="2"/>
      <c r="D1" s="3"/>
    </row>
    <row r="2" ht="16.5" spans="1:4">
      <c r="A2" s="4"/>
      <c r="B2" s="4"/>
      <c r="C2" s="4"/>
      <c r="D2" s="4"/>
    </row>
    <row r="3" ht="16.5" spans="1:4">
      <c r="A3" s="5" t="s">
        <v>96</v>
      </c>
      <c r="B3" s="5" t="s">
        <v>97</v>
      </c>
      <c r="C3" s="5" t="s">
        <v>98</v>
      </c>
      <c r="D3" s="5" t="s">
        <v>99</v>
      </c>
    </row>
    <row r="4" ht="70" customHeight="1" spans="1:4">
      <c r="A4" s="6" t="s">
        <v>100</v>
      </c>
      <c r="B4" s="6" t="s">
        <v>101</v>
      </c>
      <c r="C4" s="6" t="s">
        <v>102</v>
      </c>
      <c r="D4" s="6" t="s">
        <v>103</v>
      </c>
    </row>
    <row r="5" ht="70" customHeight="1" spans="1:4">
      <c r="A5" s="6" t="s">
        <v>104</v>
      </c>
      <c r="B5" s="6" t="s">
        <v>105</v>
      </c>
      <c r="C5" s="6" t="s">
        <v>106</v>
      </c>
      <c r="D5" s="6" t="s">
        <v>107</v>
      </c>
    </row>
    <row r="6" ht="70" customHeight="1" spans="1:4">
      <c r="A6" s="6" t="s">
        <v>108</v>
      </c>
      <c r="B6" s="6" t="s">
        <v>109</v>
      </c>
      <c r="C6" s="6" t="s">
        <v>110</v>
      </c>
      <c r="D6" s="6" t="s">
        <v>111</v>
      </c>
    </row>
    <row r="7" ht="70" customHeight="1" spans="1:4">
      <c r="A7" s="6" t="s">
        <v>112</v>
      </c>
      <c r="B7" s="6" t="s">
        <v>113</v>
      </c>
      <c r="C7" s="6" t="s">
        <v>114</v>
      </c>
      <c r="D7" s="6" t="s">
        <v>115</v>
      </c>
    </row>
    <row r="8" ht="70" customHeight="1" spans="1:4">
      <c r="A8" s="6" t="s">
        <v>116</v>
      </c>
      <c r="B8" s="6" t="s">
        <v>117</v>
      </c>
      <c r="C8" s="6" t="s">
        <v>118</v>
      </c>
      <c r="D8" s="6" t="s">
        <v>119</v>
      </c>
    </row>
    <row r="9" ht="70" customHeight="1" spans="1:4">
      <c r="A9" s="6" t="s">
        <v>90</v>
      </c>
      <c r="B9" s="6" t="s">
        <v>120</v>
      </c>
      <c r="C9" s="6" t="s">
        <v>121</v>
      </c>
      <c r="D9" s="6" t="s">
        <v>122</v>
      </c>
    </row>
    <row r="10" ht="70" customHeight="1" spans="1:4">
      <c r="A10" s="6" t="s">
        <v>123</v>
      </c>
      <c r="B10" s="6" t="s">
        <v>124</v>
      </c>
      <c r="C10" s="6" t="s">
        <v>125</v>
      </c>
      <c r="D10" s="6" t="s">
        <v>126</v>
      </c>
    </row>
    <row r="11" ht="70" customHeight="1" spans="1:4">
      <c r="A11" s="6"/>
      <c r="B11" s="6"/>
      <c r="C11" s="6"/>
      <c r="D11" s="6"/>
    </row>
  </sheetData>
  <mergeCells count="1">
    <mergeCell ref="A1:D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workbookViewId="0">
      <pane ySplit="1" topLeftCell="A2" activePane="bottomLeft" state="frozen"/>
      <selection/>
      <selection pane="bottomLeft" activeCell="A1" sqref="A1:E1"/>
    </sheetView>
  </sheetViews>
  <sheetFormatPr defaultColWidth="9" defaultRowHeight="13.5" outlineLevelCol="4"/>
  <cols>
    <col min="1" max="1" width="18" customWidth="1"/>
    <col min="2" max="2" width="45" customWidth="1"/>
    <col min="3" max="4" width="70" customWidth="1"/>
    <col min="5" max="5" width="45" customWidth="1"/>
  </cols>
  <sheetData>
    <row r="1" spans="1:5">
      <c r="A1" s="1" t="s">
        <v>127</v>
      </c>
      <c r="B1" s="2"/>
      <c r="C1" s="2"/>
      <c r="D1" s="2"/>
      <c r="E1" s="3"/>
    </row>
    <row r="2" ht="16.5" spans="1:5">
      <c r="A2" s="4"/>
      <c r="B2" s="4"/>
      <c r="C2" s="4"/>
      <c r="D2" s="4"/>
      <c r="E2" s="4"/>
    </row>
    <row r="3" ht="16.5" spans="1:5">
      <c r="A3" s="5" t="s">
        <v>128</v>
      </c>
      <c r="B3" s="5" t="s">
        <v>129</v>
      </c>
      <c r="C3" s="5" t="s">
        <v>130</v>
      </c>
      <c r="D3" s="5" t="s">
        <v>131</v>
      </c>
      <c r="E3" s="5" t="s">
        <v>132</v>
      </c>
    </row>
    <row r="4" ht="58" customHeight="1" spans="1:5">
      <c r="A4" s="6">
        <v>1</v>
      </c>
      <c r="B4" s="6" t="s">
        <v>133</v>
      </c>
      <c r="C4" s="6" t="s">
        <v>134</v>
      </c>
      <c r="D4" s="6" t="s">
        <v>135</v>
      </c>
      <c r="E4" s="6" t="s">
        <v>136</v>
      </c>
    </row>
    <row r="5" ht="58" customHeight="1" spans="1:5">
      <c r="A5" s="6">
        <v>2</v>
      </c>
      <c r="B5" s="6" t="s">
        <v>137</v>
      </c>
      <c r="C5" s="6" t="s">
        <v>138</v>
      </c>
      <c r="D5" s="6" t="s">
        <v>139</v>
      </c>
      <c r="E5" s="6" t="s">
        <v>140</v>
      </c>
    </row>
    <row r="6" ht="58" customHeight="1" spans="1:5">
      <c r="A6" s="6">
        <v>3</v>
      </c>
      <c r="B6" s="6" t="s">
        <v>141</v>
      </c>
      <c r="C6" s="6" t="s">
        <v>142</v>
      </c>
      <c r="D6" s="6" t="s">
        <v>143</v>
      </c>
      <c r="E6" s="6" t="s">
        <v>144</v>
      </c>
    </row>
    <row r="7" ht="58" customHeight="1" spans="1:5">
      <c r="A7" s="6">
        <v>4</v>
      </c>
      <c r="B7" s="6" t="s">
        <v>145</v>
      </c>
      <c r="C7" s="6" t="s">
        <v>146</v>
      </c>
      <c r="D7" s="6" t="s">
        <v>147</v>
      </c>
      <c r="E7" s="6" t="s">
        <v>148</v>
      </c>
    </row>
    <row r="8" ht="58" customHeight="1" spans="1:5">
      <c r="A8" s="6">
        <v>5</v>
      </c>
      <c r="B8" s="6" t="s">
        <v>149</v>
      </c>
      <c r="C8" s="6" t="s">
        <v>150</v>
      </c>
      <c r="D8" s="6" t="s">
        <v>151</v>
      </c>
      <c r="E8" s="6" t="s">
        <v>152</v>
      </c>
    </row>
    <row r="9" ht="58" customHeight="1" spans="1:5">
      <c r="A9" s="6">
        <v>6</v>
      </c>
      <c r="B9" s="6" t="s">
        <v>153</v>
      </c>
      <c r="C9" s="6" t="s">
        <v>154</v>
      </c>
      <c r="D9" s="6" t="s">
        <v>155</v>
      </c>
      <c r="E9" s="6" t="s">
        <v>156</v>
      </c>
    </row>
    <row r="10" ht="58" customHeight="1" spans="1:5">
      <c r="A10" s="6">
        <v>7</v>
      </c>
      <c r="B10" s="6" t="s">
        <v>157</v>
      </c>
      <c r="C10" s="6" t="s">
        <v>158</v>
      </c>
      <c r="D10" s="6" t="s">
        <v>159</v>
      </c>
      <c r="E10" s="6" t="s">
        <v>160</v>
      </c>
    </row>
    <row r="11" ht="58" customHeight="1" spans="1:5">
      <c r="A11" s="6">
        <v>8</v>
      </c>
      <c r="B11" s="6" t="s">
        <v>161</v>
      </c>
      <c r="C11" s="6" t="s">
        <v>162</v>
      </c>
      <c r="D11" s="6" t="s">
        <v>163</v>
      </c>
      <c r="E11" s="6" t="s">
        <v>164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使用说明</vt:lpstr>
      <vt:lpstr>录入与AI结论</vt:lpstr>
      <vt:lpstr>四项评分规则</vt:lpstr>
      <vt:lpstr>老人版报告模板</vt:lpstr>
      <vt:lpstr>依据来源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LC</cp:lastModifiedBy>
  <dcterms:created xsi:type="dcterms:W3CDTF">2026-05-22T07:57:00Z</dcterms:created>
  <dcterms:modified xsi:type="dcterms:W3CDTF">2026-05-22T08:21:11Z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0BA598C6B3EB45638C3883F7A567AA69_12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