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49034f4b2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3评分总览" sheetId="1" r:id="R10b09af42eb04931"/>
    <x:sheet xmlns:r="http://schemas.openxmlformats.org/officeDocument/2006/relationships" name="输入计算模板" sheetId="2" r:id="R31961f97c859425f"/>
    <x:sheet xmlns:r="http://schemas.openxmlformats.org/officeDocument/2006/relationships" name="模块评分细则" sheetId="3" r:id="R75d593030a1240bb"/>
    <x:sheet xmlns:r="http://schemas.openxmlformats.org/officeDocument/2006/relationships" name="红线与报告输出" sheetId="4" r:id="Rd72c312cd0dd4c56"/>
    <x:sheet xmlns:r="http://schemas.openxmlformats.org/officeDocument/2006/relationships" name="增强指标说明" sheetId="5" r:id="R2bdc533452834b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sz val="10"/>
      <x:color rgb="222222"/>
      <x:name val="Carlito"/>
    </x:font>
    <x:font>
      <x:b/>
      <x:sz val="10"/>
      <x:color rgb="22222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2F0D9"/>
      </x:patternFill>
    </x:fill>
    <x:fill>
      <x:patternFill patternType="solid">
        <x:fgColor rgb="9E2F2F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59cd2b6344120" /><Relationship Type="http://schemas.openxmlformats.org/officeDocument/2006/relationships/theme" Target="/xl/theme/theme1.xml" Id="R66e39f842f024ecf" /><Relationship Type="http://schemas.openxmlformats.org/officeDocument/2006/relationships/sharedStrings" Target="/xl/sharedStrings.xml" Id="Rd2fbecfd344d40a6" /><Relationship Type="http://schemas.openxmlformats.org/officeDocument/2006/relationships/worksheet" Target="/xl/worksheets/sheet1.xml" Id="R10b09af42eb04931" /><Relationship Type="http://schemas.openxmlformats.org/officeDocument/2006/relationships/worksheet" Target="/xl/worksheets/sheet2.xml" Id="R31961f97c859425f" /><Relationship Type="http://schemas.openxmlformats.org/officeDocument/2006/relationships/worksheet" Target="/xl/worksheets/sheet3.xml" Id="R75d593030a1240bb" /><Relationship Type="http://schemas.openxmlformats.org/officeDocument/2006/relationships/worksheet" Target="/xl/worksheets/sheet4.xml" Id="Rd72c312cd0dd4c56" /><Relationship Type="http://schemas.openxmlformats.org/officeDocument/2006/relationships/worksheet" Target="/xl/worksheets/sheet5.xml" Id="R2bdc533452834b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36" hidden="0" customWidth="1"/>
    <x:col min="6" max="6" width="36" hidden="0" customWidth="1"/>
  </x:cols>
  <x:sheetData>
    <x:row r="1" ht="28" customHeight="1">
      <x:c r="A1" s="36" t="str">
        <x:v>老年活动能力综合评分 V3.0：核心硬指标 + 设备增强指标</x:v>
      </x:c>
      <x:c r="B1" s="36"/>
      <x:c r="C1" s="36"/>
      <x:c r="D1" s="36"/>
      <x:c r="E1" s="36"/>
      <x:c r="F1" s="36"/>
      <x:c r="G1" s="36"/>
      <x:c r="H1" s="36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3">
      <x:c r="A3" s="13" t="str">
        <x:v>模块</x:v>
      </x:c>
      <x:c r="B3" s="13" t="str">
        <x:v>核心硬指标</x:v>
      </x:c>
      <x:c r="C3" s="13" t="str">
        <x:v>设备增强指标</x:v>
      </x:c>
      <x:c r="D3" s="13" t="str">
        <x:v>模块总分</x:v>
      </x:c>
      <x:c r="E3" s="13" t="str">
        <x:v>核心逻辑</x:v>
      </x:c>
      <x:c r="F3" s="13" t="str">
        <x:v>设备特色补充</x:v>
      </x:c>
    </x:row>
    <x:row r="4">
      <x:c r="A4" s="20" t="str">
        <x:v>握力评估</x:v>
      </x:c>
      <x:c r="B4" s="20" t="n">
        <x:v>18</x:v>
      </x:c>
      <x:c r="C4" s="20" t="n">
        <x:v>7</x:v>
      </x:c>
      <x:c r="D4" s="20" t="n">
        <x:v>25</x:v>
      </x:c>
      <x:c r="E4" s="20" t="str">
        <x:v>最大握力按性别阈值换算R值</x:v>
      </x:c>
      <x:c r="F4" s="20" t="str">
        <x:v>手指贡献、抓握稳定性、左右手差异</x:v>
      </x:c>
    </x:row>
    <x:row r="5">
      <x:c r="A5" s="20" t="str">
        <x:v>起坐评估</x:v>
      </x:c>
      <x:c r="B5" s="20" t="n">
        <x:v>18</x:v>
      </x:c>
      <x:c r="C5" s="20" t="n">
        <x:v>7</x:v>
      </x:c>
      <x:c r="D5" s="20" t="n">
        <x:v>25</x:v>
      </x:c>
      <x:c r="E5" s="20" t="str">
        <x:v>5次起坐总时长</x:v>
      </x:c>
      <x:c r="F5" s="20" t="str">
        <x:v>周期稳定性、左右负重、压力曲线、重心转移</x:v>
      </x:c>
    </x:row>
    <x:row r="6">
      <x:c r="A6" s="20" t="str">
        <x:v>静态站立评估</x:v>
      </x:c>
      <x:c r="B6" s="20" t="n">
        <x:v>18</x:v>
      </x:c>
      <x:c r="C6" s="20" t="n">
        <x:v>7</x:v>
      </x:c>
      <x:c r="D6" s="20" t="n">
        <x:v>25</x:v>
      </x:c>
      <x:c r="E6" s="20" t="str">
        <x:v>四阶段平衡 + COP稳态 + 左右负荷偏移</x:v>
      </x:c>
      <x:c r="F6" s="20" t="str">
        <x:v>足底分区、足弓/足型、COP轨迹形态、AP/ML稳定性</x:v>
      </x:c>
    </x:row>
    <x:row r="7">
      <x:c r="A7" s="20" t="str">
        <x:v>步态评估</x:v>
      </x:c>
      <x:c r="B7" s="20" t="n">
        <x:v>18</x:v>
      </x:c>
      <x:c r="C7" s="20" t="n">
        <x:v>7</x:v>
      </x:c>
      <x:c r="D7" s="20" t="n">
        <x:v>25</x:v>
      </x:c>
      <x:c r="E7" s="20" t="str">
        <x:v>日常步速</x:v>
      </x:c>
      <x:c r="F7" s="20" t="str">
        <x:v>步长/步宽、双支撑期、足偏角、左右对称、动态压力</x:v>
      </x:c>
    </x:row>
    <x:row r="8">
      <x:c r="A8" s="25" t="str">
        <x:v>合计</x:v>
      </x:c>
      <x:c r="B8" s="25" t="n">
        <x:v>72</x:v>
      </x:c>
      <x:c r="C8" s="25" t="n">
        <x:v>28</x:v>
      </x:c>
      <x:c r="D8" s="25" t="n">
        <x:v>100</x:v>
      </x:c>
      <x:c r="E8" s="25" t="str">
        <x:v>核心硬指标决定主分</x:v>
      </x:c>
      <x:c r="F8" s="25" t="str">
        <x:v>设备增强指标体现矩侨产品特色</x:v>
      </x:c>
    </x:row>
    <x:row r="11">
      <x:c r="A11" s="13" t="str">
        <x:v>综合得分</x:v>
      </x:c>
      <x:c r="B11" s="13" t="str">
        <x:v>等级</x:v>
      </x:c>
      <x:c r="C11" s="13" t="str">
        <x:v>报告解释</x:v>
      </x:c>
    </x:row>
    <x:row r="12">
      <x:c r="A12" s="20" t="str">
        <x:v>≥80</x:v>
      </x:c>
      <x:c r="B12" s="20" t="str">
        <x:v>整体功能较好</x:v>
      </x:c>
      <x:c r="C12" s="20" t="str">
        <x:v>当前活动能力整体较好，建议维持运动和定期复测</x:v>
      </x:c>
    </x:row>
    <x:row r="13">
      <x:c r="A13" s="20" t="str">
        <x:v>60–79</x:v>
      </x:c>
      <x:c r="B13" s="20" t="str">
        <x:v>轻度关注</x:v>
      </x:c>
      <x:c r="C13" s="20" t="str">
        <x:v>存在部分功能短板，建议针对性训练和随访</x:v>
      </x:c>
    </x:row>
    <x:row r="14">
      <x:c r="A14" s="20" t="str">
        <x:v>40–59</x:v>
      </x:c>
      <x:c r="B14" s="20" t="str">
        <x:v>中度关注</x:v>
      </x:c>
      <x:c r="C14" s="20" t="str">
        <x:v>多项能力下降，建议进一步评估衰弱、肌少症或跌倒风险</x:v>
      </x:c>
    </x:row>
    <x:row r="15">
      <x:c r="A15" s="20" t="str">
        <x:v>&lt;40</x:v>
      </x:c>
      <x:c r="B15" s="20" t="str">
        <x:v>高度关注</x:v>
      </x:c>
      <x:c r="C15" s="20" t="str">
        <x:v>活动能力明显下降，建议进行临床评估和个体化干预</x:v>
      </x:c>
    </x:row>
    <x:row r="18">
      <x:c r="A18" s="13" t="str">
        <x:v>原则</x:v>
      </x:c>
      <x:c r="B18" s="13" t="str">
        <x:v>说明</x:v>
      </x:c>
    </x:row>
    <x:row r="19">
      <x:c r="A19" s="20" t="str">
        <x:v>定位</x:v>
      </x:c>
      <x:c r="B19" s="20" t="str">
        <x:v>本评分用于社区老年活动能力筛查、风险分层和干预建议生成，不作为疾病诊断依据。</x:v>
      </x:c>
    </x:row>
    <x:row r="20">
      <x:c r="A20" s="20" t="str">
        <x:v>权重</x:v>
      </x:c>
      <x:c r="B20" s="20" t="str">
        <x:v>严格指标占72%；柔性触觉感知增强指标占28%。</x:v>
      </x:c>
    </x:row>
    <x:row r="21">
      <x:c r="A21" s="20" t="str">
        <x:v>红线</x:v>
      </x:c>
      <x:c r="B21" s="20" t="str">
        <x:v>总分不掩盖单项风险；任一模块≤15分或触发安全/跌倒红线，应提示重点关注。</x:v>
      </x:c>
    </x:row>
    <x:row r="22">
      <x:c r="A22" s="20" t="str">
        <x:v>数据质量</x:v>
      </x:c>
      <x:c r="B22" s="20" t="str">
        <x:v>设备采集质量异常时不直接扣分，应标记数据质量不足并建议复测。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8" hidden="0" customWidth="1"/>
    <x:col min="39" max="39" width="18" hidden="0" customWidth="1"/>
    <x:col min="40" max="40" width="18" hidden="0" customWidth="1"/>
    <x:col min="41" max="41" width="46" hidden="0" customWidth="1"/>
  </x:cols>
  <x:sheetData>
    <x:row r="1" ht="28" customHeight="1">
      <x:c r="A1" s="5" t="str">
        <x:v>老年活动能力综合评分 V3.0 输入计算模板（第4行为示例，可向下复制）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</x:row>
    <x:row r="3">
      <x:c r="A3" s="13" t="str">
        <x:v>编号</x:v>
      </x:c>
      <x:c r="B3" s="13" t="str">
        <x:v>姓名/代号</x:v>
      </x:c>
      <x:c r="C3" s="13" t="str">
        <x:v>性别</x:v>
      </x:c>
      <x:c r="D3" s="13" t="str">
        <x:v>年龄</x:v>
      </x:c>
      <x:c r="E3" s="13" t="str">
        <x:v>近6-12月跌倒史</x:v>
      </x:c>
      <x:c r="F3" s="13" t="str">
        <x:v>数据质量</x:v>
      </x:c>
      <x:c r="G3" s="13" t="str">
        <x:v>握力kg</x:v>
      </x:c>
      <x:c r="H3" s="13" t="str">
        <x:v>握力R</x:v>
      </x:c>
      <x:c r="I3" s="13" t="str">
        <x:v>握力核心18</x:v>
      </x:c>
      <x:c r="J3" s="13" t="str">
        <x:v>手指贡献0-2</x:v>
      </x:c>
      <x:c r="K3" s="13" t="str">
        <x:v>抓握稳定0-3</x:v>
      </x:c>
      <x:c r="L3" s="13" t="str">
        <x:v>左右手差异0-2</x:v>
      </x:c>
      <x:c r="M3" s="13" t="str">
        <x:v>握力总分25</x:v>
      </x:c>
      <x:c r="N3" s="13" t="str">
        <x:v>5次起坐秒</x:v>
      </x:c>
      <x:c r="O3" s="13" t="str">
        <x:v>起坐核心18</x:v>
      </x:c>
      <x:c r="P3" s="13" t="str">
        <x:v>周期稳定0-2</x:v>
      </x:c>
      <x:c r="Q3" s="13" t="str">
        <x:v>左右负重0-2</x:v>
      </x:c>
      <x:c r="R3" s="13" t="str">
        <x:v>压力曲线0-2</x:v>
      </x:c>
      <x:c r="S3" s="13" t="str">
        <x:v>重心/COP0-1</x:v>
      </x:c>
      <x:c r="T3" s="13" t="str">
        <x:v>起坐总分25</x:v>
      </x:c>
      <x:c r="U3" s="13" t="str">
        <x:v>平衡等级0/2/5/8/10</x:v>
      </x:c>
      <x:c r="V3" s="13" t="str">
        <x:v>COP稳态0/1/3/5</x:v>
      </x:c>
      <x:c r="W3" s="13" t="str">
        <x:v>左右压力差%</x:v>
      </x:c>
      <x:c r="X3" s="13" t="str">
        <x:v>负荷核心0-3</x:v>
      </x:c>
      <x:c r="Y3" s="13" t="str">
        <x:v>压力分区0-2</x:v>
      </x:c>
      <x:c r="Z3" s="13" t="str">
        <x:v>足弓足型0-1</x:v>
      </x:c>
      <x:c r="AA3" s="13" t="str">
        <x:v>COP轨迹0-2</x:v>
      </x:c>
      <x:c r="AB3" s="13" t="str">
        <x:v>AP/ML稳定0-2</x:v>
      </x:c>
      <x:c r="AC3" s="13" t="str">
        <x:v>静态总分25</x:v>
      </x:c>
      <x:c r="AD3" s="13" t="str">
        <x:v>步速m/s</x:v>
      </x:c>
      <x:c r="AE3" s="13" t="str">
        <x:v>步态核心18</x:v>
      </x:c>
      <x:c r="AF3" s="13" t="str">
        <x:v>步长步宽0-2</x:v>
      </x:c>
      <x:c r="AG3" s="13" t="str">
        <x:v>双支撑期0-2</x:v>
      </x:c>
      <x:c r="AH3" s="13" t="str">
        <x:v>足偏角0-1</x:v>
      </x:c>
      <x:c r="AI3" s="13" t="str">
        <x:v>步态对称0-1</x:v>
      </x:c>
      <x:c r="AJ3" s="13" t="str">
        <x:v>动态压力0-1</x:v>
      </x:c>
      <x:c r="AK3" s="13" t="str">
        <x:v>步态总分25</x:v>
      </x:c>
      <x:c r="AL3" s="34" t="str">
        <x:v>综合总分100</x:v>
      </x:c>
      <x:c r="AM3" s="34" t="str">
        <x:v>等级</x:v>
      </x:c>
      <x:c r="AN3" s="34" t="str">
        <x:v>红线提示</x:v>
      </x:c>
      <x:c r="AO3" s="34" t="str">
        <x:v>报告提示</x:v>
      </x:c>
    </x:row>
    <x:row r="4">
      <x:c r="A4" s="20" t="str">
        <x:v>S001</x:v>
      </x:c>
      <x:c r="B4" s="20" t="str">
        <x:v>示例</x:v>
      </x:c>
      <x:c r="C4" s="20" t="str">
        <x:v>女</x:v>
      </x:c>
      <x:c r="D4" s="20" t="n">
        <x:v>72</x:v>
      </x:c>
      <x:c r="E4" s="20" t="str">
        <x:v>否</x:v>
      </x:c>
      <x:c r="F4" s="20" t="str">
        <x:v>合格</x:v>
      </x:c>
      <x:c r="G4" s="30" t="n">
        <x:v>20</x:v>
      </x:c>
      <x:c r="H4" s="28" t="n">
        <x:f>IF(C4="男",G4/28,IF(C4="女",G4/18,""))</x:f>
        <x:v>1.1111111111111112</x:v>
      </x:c>
      <x:c r="I4" s="20" t="n">
        <x:f>IF(G4="","",IF(H4&gt;=1.1,18,IF(H4&gt;=1,15,IF(H4&gt;=0.85,11,IF(H4&gt;=0.7,7,3)))))</x:f>
        <x:v>18</x:v>
      </x:c>
      <x:c r="J4" s="20" t="n">
        <x:v>2</x:v>
      </x:c>
      <x:c r="K4" s="20" t="n">
        <x:v>2</x:v>
      </x:c>
      <x:c r="L4" s="20" t="n">
        <x:v>2</x:v>
      </x:c>
      <x:c r="M4" s="20" t="n">
        <x:f>IF(I4="","",I4+J4+K4+L4)</x:f>
        <x:v>24</x:v>
      </x:c>
      <x:c r="N4" s="30" t="n">
        <x:v>11.5</x:v>
      </x:c>
      <x:c r="O4" s="20" t="n">
        <x:f>IF(N4="","",IF(N4&lt;=10,18,IF(N4&lt;=12,15,IF(N4&lt;=15,10,IF(N4&lt;=20,5,2)))))</x:f>
        <x:v>15</x:v>
      </x:c>
      <x:c r="P4" s="20" t="n">
        <x:v>2</x:v>
      </x:c>
      <x:c r="Q4" s="20" t="n">
        <x:v>2</x:v>
      </x:c>
      <x:c r="R4" s="20" t="n">
        <x:v>2</x:v>
      </x:c>
      <x:c r="S4" s="20" t="n">
        <x:v>1</x:v>
      </x:c>
      <x:c r="T4" s="20" t="n">
        <x:f>IF(O4="","",O4+P4+Q4+R4+S4)</x:f>
        <x:v>22</x:v>
      </x:c>
      <x:c r="U4" s="20" t="n">
        <x:v>8</x:v>
      </x:c>
      <x:c r="V4" s="20" t="n">
        <x:v>5</x:v>
      </x:c>
      <x:c r="W4" s="30" t="n">
        <x:v>8</x:v>
      </x:c>
      <x:c r="X4" s="20" t="n">
        <x:f>IF(W4="","",IF(W4&lt;=10,3,IF(W4&lt;=15,2,IF(W4&lt;=20,1,0))))</x:f>
        <x:v>3</x:v>
      </x:c>
      <x:c r="Y4" s="20" t="n">
        <x:v>2</x:v>
      </x:c>
      <x:c r="Z4" s="20" t="n">
        <x:v>1</x:v>
      </x:c>
      <x:c r="AA4" s="20" t="n">
        <x:v>2</x:v>
      </x:c>
      <x:c r="AB4" s="20" t="n">
        <x:v>2</x:v>
      </x:c>
      <x:c r="AC4" s="20" t="n">
        <x:f>IF(U4="","",U4+V4+X4+Y4+Z4+AA4+AB4)</x:f>
        <x:v>23</x:v>
      </x:c>
      <x:c r="AD4" s="28" t="n">
        <x:v>0.92</x:v>
      </x:c>
      <x:c r="AE4" s="20" t="n">
        <x:f>IF(AD4="","",IF(AD4&gt;=1,18,IF(AD4&gt;=0.8,14,IF(AD4&gt;=0.6,9,4))))</x:f>
        <x:v>14</x:v>
      </x:c>
      <x:c r="AF4" s="20" t="n">
        <x:v>2</x:v>
      </x:c>
      <x:c r="AG4" s="20" t="n">
        <x:v>2</x:v>
      </x:c>
      <x:c r="AH4" s="20" t="n">
        <x:v>1</x:v>
      </x:c>
      <x:c r="AI4" s="20" t="n">
        <x:v>1</x:v>
      </x:c>
      <x:c r="AJ4" s="20" t="n">
        <x:v>1</x:v>
      </x:c>
      <x:c r="AK4" s="20" t="n">
        <x:f>IF(AE4="","",AE4+AF4+AG4+AH4+AI4+AJ4)</x:f>
        <x:v>21</x:v>
      </x:c>
      <x:c r="AL4" s="32" t="n">
        <x:f>IF(COUNT(M4,T4,AC4,AK4)=4,M4+T4+AC4+AK4,"")</x:f>
        <x:v>90</x:v>
      </x:c>
      <x:c r="AM4" s="20" t="str">
        <x:f>IF(AL4="","",IF(AN4="有","重点关注",IF(AL4&gt;=80,"整体功能较好",IF(AL4&gt;=60,"轻度关注",IF(AL4&gt;=40,"中度关注","高度关注")))))</x:f>
        <x:v>整体功能较好</x:v>
      </x:c>
      <x:c r="AN4" s="20" t="str">
        <x:f>IF(OR(M4&lt;=15,T4&lt;=15,AC4&lt;=15,AK4&lt;=15,AD4&lt;0.6,N4&gt;20,U4=0,E4="是",F4&lt;&gt;"合格"),"有","无")</x:f>
        <x:v>无</x:v>
      </x:c>
      <x:c r="AO4" s="20" t="str">
        <x:f>IF(AL4="","",IF(AN4="有","存在红线或单项明显短板，建议重点关注并结合CGA/医生复核。",IF(AM4="整体功能较好","整体功能较好，建议维持运动并定期复测。",IF(AM4="轻度关注","存在部分功能短板，建议针对性训练与随访。",IF(AM4="中度关注","多项能力下降，建议进一步评估肌少症、衰弱或跌倒风险。","活动能力明显下降，建议临床评估与个体化干预。")))))</x:f>
        <x:v>整体功能较好，建议维持运动并定期复测。</x:v>
      </x:c>
    </x:row>
    <x:row r="5">
      <x:c r="A5" s="20"/>
      <x:c r="B5" s="20"/>
      <x:c r="C5" s="20"/>
      <x:c r="D5" s="20"/>
      <x:c r="E5" s="20"/>
      <x:c r="F5" s="20"/>
      <x:c r="G5" s="30"/>
      <x:c r="H5" s="28" t="str">
        <x:f>IF(C5="男",G5/28,IF(C5="女",G5/18,""))</x:f>
      </x:c>
      <x:c r="I5" s="20" t="str">
        <x:f>IF(G5="","",IF(H5&gt;=1.1,18,IF(H5&gt;=1,15,IF(H5&gt;=0.85,11,IF(H5&gt;=0.7,7,3)))))</x:f>
      </x:c>
      <x:c r="J5" s="20"/>
      <x:c r="K5" s="20"/>
      <x:c r="L5" s="20"/>
      <x:c r="M5" s="20" t="str">
        <x:f>IF(I5="","",I5+J5+K5+L5)</x:f>
      </x:c>
      <x:c r="N5" s="30"/>
      <x:c r="O5" s="20" t="str">
        <x:f>IF(N5="","",IF(N5&lt;=10,18,IF(N5&lt;=12,15,IF(N5&lt;=15,10,IF(N5&lt;=20,5,2)))))</x:f>
      </x:c>
      <x:c r="P5" s="20"/>
      <x:c r="Q5" s="20"/>
      <x:c r="R5" s="20"/>
      <x:c r="S5" s="20"/>
      <x:c r="T5" s="20" t="str">
        <x:f>IF(O5="","",O5+P5+Q5+R5+S5)</x:f>
      </x:c>
      <x:c r="U5" s="20"/>
      <x:c r="V5" s="20"/>
      <x:c r="W5" s="30"/>
      <x:c r="X5" s="20" t="str">
        <x:f>IF(W5="","",IF(W5&lt;=10,3,IF(W5&lt;=15,2,IF(W5&lt;=20,1,0))))</x:f>
      </x:c>
      <x:c r="Y5" s="20"/>
      <x:c r="Z5" s="20"/>
      <x:c r="AA5" s="20"/>
      <x:c r="AB5" s="20"/>
      <x:c r="AC5" s="20" t="str">
        <x:f>IF(U5="","",U5+V5+X5+Y5+Z5+AA5+AB5)</x:f>
      </x:c>
      <x:c r="AD5" s="28"/>
      <x:c r="AE5" s="20" t="str">
        <x:f>IF(AD5="","",IF(AD5&gt;=1,18,IF(AD5&gt;=0.8,14,IF(AD5&gt;=0.6,9,4))))</x:f>
      </x:c>
      <x:c r="AF5" s="20"/>
      <x:c r="AG5" s="20"/>
      <x:c r="AH5" s="20"/>
      <x:c r="AI5" s="20"/>
      <x:c r="AJ5" s="20"/>
      <x:c r="AK5" s="20" t="str">
        <x:f>IF(AE5="","",AE5+AF5+AG5+AH5+AI5+AJ5)</x:f>
      </x:c>
      <x:c r="AL5" s="32" t="str">
        <x:f>IF(COUNT(M5,T5,AC5,AK5)=4,M5+T5+AC5+AK5,"")</x:f>
      </x:c>
      <x:c r="AM5" s="20" t="str">
        <x:f>IF(AL5="","",IF(AN5="有","重点关注",IF(AL5&gt;=80,"整体功能较好",IF(AL5&gt;=60,"轻度关注",IF(AL5&gt;=40,"中度关注","高度关注")))))</x:f>
      </x:c>
      <x:c r="AN5" s="20" t="str">
        <x:f>IF(OR(M5&lt;=15,T5&lt;=15,AC5&lt;=15,AK5&lt;=15,AD5&lt;0.6,N5&gt;20,U5=0,E5="是",F5&lt;&gt;"合格"),"有","无")</x:f>
        <x:v>有</x:v>
      </x:c>
      <x:c r="AO5" s="20" t="str">
        <x:f>IF(AL5="","",IF(AN5="有","存在红线或单项明显短板，建议重点关注并结合CGA/医生复核。",IF(AM5="整体功能较好","整体功能较好，建议维持运动并定期复测。",IF(AM5="轻度关注","存在部分功能短板，建议针对性训练与随访。",IF(AM5="中度关注","多项能力下降，建议进一步评估肌少症、衰弱或跌倒风险。","活动能力明显下降，建议临床评估与个体化干预。")))))</x:f>
      </x:c>
    </x:row>
    <x:row r="6">
      <x:c r="A6" s="20"/>
      <x:c r="B6" s="20"/>
      <x:c r="C6" s="20"/>
      <x:c r="D6" s="20"/>
      <x:c r="E6" s="20"/>
      <x:c r="F6" s="20"/>
      <x:c r="G6" s="30"/>
      <x:c r="H6" s="28" t="str">
        <x:f>IF(C6="男",G6/28,IF(C6="女",G6/18,""))</x:f>
      </x:c>
      <x:c r="I6" s="20" t="str">
        <x:f>IF(G6="","",IF(H6&gt;=1.1,18,IF(H6&gt;=1,15,IF(H6&gt;=0.85,11,IF(H6&gt;=0.7,7,3)))))</x:f>
      </x:c>
      <x:c r="J6" s="20"/>
      <x:c r="K6" s="20"/>
      <x:c r="L6" s="20"/>
      <x:c r="M6" s="20" t="str">
        <x:f>IF(I6="","",I6+J6+K6+L6)</x:f>
      </x:c>
      <x:c r="N6" s="30"/>
      <x:c r="O6" s="20" t="str">
        <x:f>IF(N6="","",IF(N6&lt;=10,18,IF(N6&lt;=12,15,IF(N6&lt;=15,10,IF(N6&lt;=20,5,2)))))</x:f>
      </x:c>
      <x:c r="P6" s="20"/>
      <x:c r="Q6" s="20"/>
      <x:c r="R6" s="20"/>
      <x:c r="S6" s="20"/>
      <x:c r="T6" s="20" t="str">
        <x:f>IF(O6="","",O6+P6+Q6+R6+S6)</x:f>
      </x:c>
      <x:c r="U6" s="20"/>
      <x:c r="V6" s="20"/>
      <x:c r="W6" s="30"/>
      <x:c r="X6" s="20" t="str">
        <x:f>IF(W6="","",IF(W6&lt;=10,3,IF(W6&lt;=15,2,IF(W6&lt;=20,1,0))))</x:f>
      </x:c>
      <x:c r="Y6" s="20"/>
      <x:c r="Z6" s="20"/>
      <x:c r="AA6" s="20"/>
      <x:c r="AB6" s="20"/>
      <x:c r="AC6" s="20" t="str">
        <x:f>IF(U6="","",U6+V6+X6+Y6+Z6+AA6+AB6)</x:f>
      </x:c>
      <x:c r="AD6" s="28"/>
      <x:c r="AE6" s="20" t="str">
        <x:f>IF(AD6="","",IF(AD6&gt;=1,18,IF(AD6&gt;=0.8,14,IF(AD6&gt;=0.6,9,4))))</x:f>
      </x:c>
      <x:c r="AF6" s="20"/>
      <x:c r="AG6" s="20"/>
      <x:c r="AH6" s="20"/>
      <x:c r="AI6" s="20"/>
      <x:c r="AJ6" s="20"/>
      <x:c r="AK6" s="20" t="str">
        <x:f>IF(AE6="","",AE6+AF6+AG6+AH6+AI6+AJ6)</x:f>
      </x:c>
      <x:c r="AL6" s="32" t="str">
        <x:f>IF(COUNT(M6,T6,AC6,AK6)=4,M6+T6+AC6+AK6,"")</x:f>
      </x:c>
      <x:c r="AM6" s="20" t="str">
        <x:f>IF(AL6="","",IF(AN6="有","重点关注",IF(AL6&gt;=80,"整体功能较好",IF(AL6&gt;=60,"轻度关注",IF(AL6&gt;=40,"中度关注","高度关注")))))</x:f>
      </x:c>
      <x:c r="AN6" s="20" t="str">
        <x:f>IF(OR(M6&lt;=15,T6&lt;=15,AC6&lt;=15,AK6&lt;=15,AD6&lt;0.6,N6&gt;20,U6=0,E6="是",F6&lt;&gt;"合格"),"有","无")</x:f>
        <x:v>有</x:v>
      </x:c>
      <x:c r="AO6" s="20" t="str">
        <x:f>IF(AL6="","",IF(AN6="有","存在红线或单项明显短板，建议重点关注并结合CGA/医生复核。",IF(AM6="整体功能较好","整体功能较好，建议维持运动并定期复测。",IF(AM6="轻度关注","存在部分功能短板，建议针对性训练与随访。",IF(AM6="中度关注","多项能力下降，建议进一步评估肌少症、衰弱或跌倒风险。","活动能力明显下降，建议临床评估与个体化干预。")))))</x:f>
      </x:c>
    </x:row>
    <x:row r="7">
      <x:c r="A7" s="20"/>
      <x:c r="B7" s="20"/>
      <x:c r="C7" s="20"/>
      <x:c r="D7" s="20"/>
      <x:c r="E7" s="20"/>
      <x:c r="F7" s="20"/>
      <x:c r="G7" s="30"/>
      <x:c r="H7" s="28" t="str">
        <x:f>IF(C7="男",G7/28,IF(C7="女",G7/18,""))</x:f>
      </x:c>
      <x:c r="I7" s="20" t="str">
        <x:f>IF(G7="","",IF(H7&gt;=1.1,18,IF(H7&gt;=1,15,IF(H7&gt;=0.85,11,IF(H7&gt;=0.7,7,3)))))</x:f>
      </x:c>
      <x:c r="J7" s="20"/>
      <x:c r="K7" s="20"/>
      <x:c r="L7" s="20"/>
      <x:c r="M7" s="20" t="str">
        <x:f>IF(I7="","",I7+J7+K7+L7)</x:f>
      </x:c>
      <x:c r="N7" s="30"/>
      <x:c r="O7" s="20" t="str">
        <x:f>IF(N7="","",IF(N7&lt;=10,18,IF(N7&lt;=12,15,IF(N7&lt;=15,10,IF(N7&lt;=20,5,2)))))</x:f>
      </x:c>
      <x:c r="P7" s="20"/>
      <x:c r="Q7" s="20"/>
      <x:c r="R7" s="20"/>
      <x:c r="S7" s="20"/>
      <x:c r="T7" s="20" t="str">
        <x:f>IF(O7="","",O7+P7+Q7+R7+S7)</x:f>
      </x:c>
      <x:c r="U7" s="20"/>
      <x:c r="V7" s="20"/>
      <x:c r="W7" s="30"/>
      <x:c r="X7" s="20" t="str">
        <x:f>IF(W7="","",IF(W7&lt;=10,3,IF(W7&lt;=15,2,IF(W7&lt;=20,1,0))))</x:f>
      </x:c>
      <x:c r="Y7" s="20"/>
      <x:c r="Z7" s="20"/>
      <x:c r="AA7" s="20"/>
      <x:c r="AB7" s="20"/>
      <x:c r="AC7" s="20" t="str">
        <x:f>IF(U7="","",U7+V7+X7+Y7+Z7+AA7+AB7)</x:f>
      </x:c>
      <x:c r="AD7" s="28"/>
      <x:c r="AE7" s="20" t="str">
        <x:f>IF(AD7="","",IF(AD7&gt;=1,18,IF(AD7&gt;=0.8,14,IF(AD7&gt;=0.6,9,4))))</x:f>
      </x:c>
      <x:c r="AF7" s="20"/>
      <x:c r="AG7" s="20"/>
      <x:c r="AH7" s="20"/>
      <x:c r="AI7" s="20"/>
      <x:c r="AJ7" s="20"/>
      <x:c r="AK7" s="20" t="str">
        <x:f>IF(AE7="","",AE7+AF7+AG7+AH7+AI7+AJ7)</x:f>
      </x:c>
      <x:c r="AL7" s="32" t="str">
        <x:f>IF(COUNT(M7,T7,AC7,AK7)=4,M7+T7+AC7+AK7,"")</x:f>
      </x:c>
      <x:c r="AM7" s="20" t="str">
        <x:f>IF(AL7="","",IF(AN7="有","重点关注",IF(AL7&gt;=80,"整体功能较好",IF(AL7&gt;=60,"轻度关注",IF(AL7&gt;=40,"中度关注","高度关注")))))</x:f>
      </x:c>
      <x:c r="AN7" s="20" t="str">
        <x:f>IF(OR(M7&lt;=15,T7&lt;=15,AC7&lt;=15,AK7&lt;=15,AD7&lt;0.6,N7&gt;20,U7=0,E7="是",F7&lt;&gt;"合格"),"有","无")</x:f>
        <x:v>有</x:v>
      </x:c>
      <x:c r="AO7" s="20" t="str">
        <x:f>IF(AL7="","",IF(AN7="有","存在红线或单项明显短板，建议重点关注并结合CGA/医生复核。",IF(AM7="整体功能较好","整体功能较好，建议维持运动并定期复测。",IF(AM7="轻度关注","存在部分功能短板，建议针对性训练与随访。",IF(AM7="中度关注","多项能力下降，建议进一步评估肌少症、衰弱或跌倒风险。","活动能力明显下降，建议临床评估与个体化干预。")))))</x:f>
      </x:c>
    </x:row>
    <x:row r="8">
      <x:c r="A8" s="20"/>
      <x:c r="B8" s="20"/>
      <x:c r="C8" s="20"/>
      <x:c r="D8" s="20"/>
      <x:c r="E8" s="20"/>
      <x:c r="F8" s="20"/>
      <x:c r="G8" s="30"/>
      <x:c r="H8" s="28" t="str">
        <x:f>IF(C8="男",G8/28,IF(C8="女",G8/18,""))</x:f>
      </x:c>
      <x:c r="I8" s="20" t="str">
        <x:f>IF(G8="","",IF(H8&gt;=1.1,18,IF(H8&gt;=1,15,IF(H8&gt;=0.85,11,IF(H8&gt;=0.7,7,3)))))</x:f>
      </x:c>
      <x:c r="J8" s="20"/>
      <x:c r="K8" s="20"/>
      <x:c r="L8" s="20"/>
      <x:c r="M8" s="20" t="str">
        <x:f>IF(I8="","",I8+J8+K8+L8)</x:f>
      </x:c>
      <x:c r="N8" s="30"/>
      <x:c r="O8" s="20" t="str">
        <x:f>IF(N8="","",IF(N8&lt;=10,18,IF(N8&lt;=12,15,IF(N8&lt;=15,10,IF(N8&lt;=20,5,2)))))</x:f>
      </x:c>
      <x:c r="P8" s="20"/>
      <x:c r="Q8" s="20"/>
      <x:c r="R8" s="20"/>
      <x:c r="S8" s="20"/>
      <x:c r="T8" s="20" t="str">
        <x:f>IF(O8="","",O8+P8+Q8+R8+S8)</x:f>
      </x:c>
      <x:c r="U8" s="20"/>
      <x:c r="V8" s="20"/>
      <x:c r="W8" s="30"/>
      <x:c r="X8" s="20" t="str">
        <x:f>IF(W8="","",IF(W8&lt;=10,3,IF(W8&lt;=15,2,IF(W8&lt;=20,1,0))))</x:f>
      </x:c>
      <x:c r="Y8" s="20"/>
      <x:c r="Z8" s="20"/>
      <x:c r="AA8" s="20"/>
      <x:c r="AB8" s="20"/>
      <x:c r="AC8" s="20" t="str">
        <x:f>IF(U8="","",U8+V8+X8+Y8+Z8+AA8+AB8)</x:f>
      </x:c>
      <x:c r="AD8" s="28"/>
      <x:c r="AE8" s="20" t="str">
        <x:f>IF(AD8="","",IF(AD8&gt;=1,18,IF(AD8&gt;=0.8,14,IF(AD8&gt;=0.6,9,4))))</x:f>
      </x:c>
      <x:c r="AF8" s="20"/>
      <x:c r="AG8" s="20"/>
      <x:c r="AH8" s="20"/>
      <x:c r="AI8" s="20"/>
      <x:c r="AJ8" s="20"/>
      <x:c r="AK8" s="20" t="str">
        <x:f>IF(AE8="","",AE8+AF8+AG8+AH8+AI8+AJ8)</x:f>
      </x:c>
      <x:c r="AL8" s="32" t="str">
        <x:f>IF(COUNT(M8,T8,AC8,AK8)=4,M8+T8+AC8+AK8,"")</x:f>
      </x:c>
      <x:c r="AM8" s="20" t="str">
        <x:f>IF(AL8="","",IF(AN8="有","重点关注",IF(AL8&gt;=80,"整体功能较好",IF(AL8&gt;=60,"轻度关注",IF(AL8&gt;=40,"中度关注","高度关注")))))</x:f>
      </x:c>
      <x:c r="AN8" s="20" t="str">
        <x:f>IF(OR(M8&lt;=15,T8&lt;=15,AC8&lt;=15,AK8&lt;=15,AD8&lt;0.6,N8&gt;20,U8=0,E8="是",F8&lt;&gt;"合格"),"有","无")</x:f>
        <x:v>有</x:v>
      </x:c>
      <x:c r="AO8" s="20" t="str">
        <x:f>IF(AL8="","",IF(AN8="有","存在红线或单项明显短板，建议重点关注并结合CGA/医生复核。",IF(AM8="整体功能较好","整体功能较好，建议维持运动并定期复测。",IF(AM8="轻度关注","存在部分功能短板，建议针对性训练与随访。",IF(AM8="中度关注","多项能力下降，建议进一步评估肌少症、衰弱或跌倒风险。","活动能力明显下降，建议临床评估与个体化干预。")))))</x:f>
      </x:c>
    </x:row>
    <x:row r="9">
      <x:c r="A9" s="20"/>
      <x:c r="B9" s="20"/>
      <x:c r="C9" s="20"/>
      <x:c r="D9" s="20"/>
      <x:c r="E9" s="20"/>
      <x:c r="F9" s="20"/>
      <x:c r="G9" s="30"/>
      <x:c r="H9" s="28" t="str">
        <x:f>IF(C9="男",G9/28,IF(C9="女",G9/18,""))</x:f>
      </x:c>
      <x:c r="I9" s="20" t="str">
        <x:f>IF(G9="","",IF(H9&gt;=1.1,18,IF(H9&gt;=1,15,IF(H9&gt;=0.85,11,IF(H9&gt;=0.7,7,3)))))</x:f>
      </x:c>
      <x:c r="J9" s="20"/>
      <x:c r="K9" s="20"/>
      <x:c r="L9" s="20"/>
      <x:c r="M9" s="20" t="str">
        <x:f>IF(I9="","",I9+J9+K9+L9)</x:f>
      </x:c>
      <x:c r="N9" s="30"/>
      <x:c r="O9" s="20" t="str">
        <x:f>IF(N9="","",IF(N9&lt;=10,18,IF(N9&lt;=12,15,IF(N9&lt;=15,10,IF(N9&lt;=20,5,2)))))</x:f>
      </x:c>
      <x:c r="P9" s="20"/>
      <x:c r="Q9" s="20"/>
      <x:c r="R9" s="20"/>
      <x:c r="S9" s="20"/>
      <x:c r="T9" s="20" t="str">
        <x:f>IF(O9="","",O9+P9+Q9+R9+S9)</x:f>
      </x:c>
      <x:c r="U9" s="20"/>
      <x:c r="V9" s="20"/>
      <x:c r="W9" s="30"/>
      <x:c r="X9" s="20" t="str">
        <x:f>IF(W9="","",IF(W9&lt;=10,3,IF(W9&lt;=15,2,IF(W9&lt;=20,1,0))))</x:f>
      </x:c>
      <x:c r="Y9" s="20"/>
      <x:c r="Z9" s="20"/>
      <x:c r="AA9" s="20"/>
      <x:c r="AB9" s="20"/>
      <x:c r="AC9" s="20" t="str">
        <x:f>IF(U9="","",U9+V9+X9+Y9+Z9+AA9+AB9)</x:f>
      </x:c>
      <x:c r="AD9" s="28"/>
      <x:c r="AE9" s="20" t="str">
        <x:f>IF(AD9="","",IF(AD9&gt;=1,18,IF(AD9&gt;=0.8,14,IF(AD9&gt;=0.6,9,4))))</x:f>
      </x:c>
      <x:c r="AF9" s="20"/>
      <x:c r="AG9" s="20"/>
      <x:c r="AH9" s="20"/>
      <x:c r="AI9" s="20"/>
      <x:c r="AJ9" s="20"/>
      <x:c r="AK9" s="20" t="str">
        <x:f>IF(AE9="","",AE9+AF9+AG9+AH9+AI9+AJ9)</x:f>
      </x:c>
      <x:c r="AL9" s="32" t="str">
        <x:f>IF(COUNT(M9,T9,AC9,AK9)=4,M9+T9+AC9+AK9,"")</x:f>
      </x:c>
      <x:c r="AM9" s="20" t="str">
        <x:f>IF(AL9="","",IF(AN9="有","重点关注",IF(AL9&gt;=80,"整体功能较好",IF(AL9&gt;=60,"轻度关注",IF(AL9&gt;=40,"中度关注","高度关注")))))</x:f>
      </x:c>
      <x:c r="AN9" s="20" t="str">
        <x:f>IF(OR(M9&lt;=15,T9&lt;=15,AC9&lt;=15,AK9&lt;=15,AD9&lt;0.6,N9&gt;20,U9=0,E9="是",F9&lt;&gt;"合格"),"有","无")</x:f>
        <x:v>有</x:v>
      </x:c>
      <x:c r="AO9" s="20" t="str">
        <x:f>IF(AL9="","",IF(AN9="有","存在红线或单项明显短板，建议重点关注并结合CGA/医生复核。",IF(AM9="整体功能较好","整体功能较好，建议维持运动并定期复测。",IF(AM9="轻度关注","存在部分功能短板，建议针对性训练与随访。",IF(AM9="中度关注","多项能力下降，建议进一步评估肌少症、衰弱或跌倒风险。","活动能力明显下降，建议临床评估与个体化干预。")))))</x:f>
      </x:c>
    </x:row>
    <x:row r="10">
      <x:c r="A10" s="20"/>
      <x:c r="B10" s="20"/>
      <x:c r="C10" s="20"/>
      <x:c r="D10" s="20"/>
      <x:c r="E10" s="20"/>
      <x:c r="F10" s="20"/>
      <x:c r="G10" s="30"/>
      <x:c r="H10" s="28" t="str">
        <x:f>IF(C10="男",G10/28,IF(C10="女",G10/18,""))</x:f>
      </x:c>
      <x:c r="I10" s="20" t="str">
        <x:f>IF(G10="","",IF(H10&gt;=1.1,18,IF(H10&gt;=1,15,IF(H10&gt;=0.85,11,IF(H10&gt;=0.7,7,3)))))</x:f>
      </x:c>
      <x:c r="J10" s="20"/>
      <x:c r="K10" s="20"/>
      <x:c r="L10" s="20"/>
      <x:c r="M10" s="20" t="str">
        <x:f>IF(I10="","",I10+J10+K10+L10)</x:f>
      </x:c>
      <x:c r="N10" s="30"/>
      <x:c r="O10" s="20" t="str">
        <x:f>IF(N10="","",IF(N10&lt;=10,18,IF(N10&lt;=12,15,IF(N10&lt;=15,10,IF(N10&lt;=20,5,2)))))</x:f>
      </x:c>
      <x:c r="P10" s="20"/>
      <x:c r="Q10" s="20"/>
      <x:c r="R10" s="20"/>
      <x:c r="S10" s="20"/>
      <x:c r="T10" s="20" t="str">
        <x:f>IF(O10="","",O10+P10+Q10+R10+S10)</x:f>
      </x:c>
      <x:c r="U10" s="20"/>
      <x:c r="V10" s="20"/>
      <x:c r="W10" s="30"/>
      <x:c r="X10" s="20" t="str">
        <x:f>IF(W10="","",IF(W10&lt;=10,3,IF(W10&lt;=15,2,IF(W10&lt;=20,1,0))))</x:f>
      </x:c>
      <x:c r="Y10" s="20"/>
      <x:c r="Z10" s="20"/>
      <x:c r="AA10" s="20"/>
      <x:c r="AB10" s="20"/>
      <x:c r="AC10" s="20" t="str">
        <x:f>IF(U10="","",U10+V10+X10+Y10+Z10+AA10+AB10)</x:f>
      </x:c>
      <x:c r="AD10" s="28"/>
      <x:c r="AE10" s="20" t="str">
        <x:f>IF(AD10="","",IF(AD10&gt;=1,18,IF(AD10&gt;=0.8,14,IF(AD10&gt;=0.6,9,4))))</x:f>
      </x:c>
      <x:c r="AF10" s="20"/>
      <x:c r="AG10" s="20"/>
      <x:c r="AH10" s="20"/>
      <x:c r="AI10" s="20"/>
      <x:c r="AJ10" s="20"/>
      <x:c r="AK10" s="20" t="str">
        <x:f>IF(AE10="","",AE10+AF10+AG10+AH10+AI10+AJ10)</x:f>
      </x:c>
      <x:c r="AL10" s="32" t="str">
        <x:f>IF(COUNT(M10,T10,AC10,AK10)=4,M10+T10+AC10+AK10,"")</x:f>
      </x:c>
      <x:c r="AM10" s="20" t="str">
        <x:f>IF(AL10="","",IF(AN10="有","重点关注",IF(AL10&gt;=80,"整体功能较好",IF(AL10&gt;=60,"轻度关注",IF(AL10&gt;=40,"中度关注","高度关注")))))</x:f>
      </x:c>
      <x:c r="AN10" s="20" t="str">
        <x:f>IF(OR(M10&lt;=15,T10&lt;=15,AC10&lt;=15,AK10&lt;=15,AD10&lt;0.6,N10&gt;20,U10=0,E10="是",F10&lt;&gt;"合格"),"有","无")</x:f>
        <x:v>有</x:v>
      </x:c>
      <x:c r="AO10" s="20" t="str">
        <x:f>IF(AL10="","",IF(AN10="有","存在红线或单项明显短板，建议重点关注并结合CGA/医生复核。",IF(AM10="整体功能较好","整体功能较好，建议维持运动并定期复测。",IF(AM10="轻度关注","存在部分功能短板，建议针对性训练与随访。",IF(AM10="中度关注","多项能力下降，建议进一步评估肌少症、衰弱或跌倒风险。","活动能力明显下降，建议临床评估与个体化干预。")))))</x:f>
      </x:c>
    </x:row>
    <x:row r="11">
      <x:c r="A11" s="20"/>
      <x:c r="B11" s="20"/>
      <x:c r="C11" s="20"/>
      <x:c r="D11" s="20"/>
      <x:c r="E11" s="20"/>
      <x:c r="F11" s="20"/>
      <x:c r="G11" s="30"/>
      <x:c r="H11" s="28" t="str">
        <x:f>IF(C11="男",G11/28,IF(C11="女",G11/18,""))</x:f>
      </x:c>
      <x:c r="I11" s="20" t="str">
        <x:f>IF(G11="","",IF(H11&gt;=1.1,18,IF(H11&gt;=1,15,IF(H11&gt;=0.85,11,IF(H11&gt;=0.7,7,3)))))</x:f>
      </x:c>
      <x:c r="J11" s="20"/>
      <x:c r="K11" s="20"/>
      <x:c r="L11" s="20"/>
      <x:c r="M11" s="20" t="str">
        <x:f>IF(I11="","",I11+J11+K11+L11)</x:f>
      </x:c>
      <x:c r="N11" s="30"/>
      <x:c r="O11" s="20" t="str">
        <x:f>IF(N11="","",IF(N11&lt;=10,18,IF(N11&lt;=12,15,IF(N11&lt;=15,10,IF(N11&lt;=20,5,2)))))</x:f>
      </x:c>
      <x:c r="P11" s="20"/>
      <x:c r="Q11" s="20"/>
      <x:c r="R11" s="20"/>
      <x:c r="S11" s="20"/>
      <x:c r="T11" s="20" t="str">
        <x:f>IF(O11="","",O11+P11+Q11+R11+S11)</x:f>
      </x:c>
      <x:c r="U11" s="20"/>
      <x:c r="V11" s="20"/>
      <x:c r="W11" s="30"/>
      <x:c r="X11" s="20" t="str">
        <x:f>IF(W11="","",IF(W11&lt;=10,3,IF(W11&lt;=15,2,IF(W11&lt;=20,1,0))))</x:f>
      </x:c>
      <x:c r="Y11" s="20"/>
      <x:c r="Z11" s="20"/>
      <x:c r="AA11" s="20"/>
      <x:c r="AB11" s="20"/>
      <x:c r="AC11" s="20" t="str">
        <x:f>IF(U11="","",U11+V11+X11+Y11+Z11+AA11+AB11)</x:f>
      </x:c>
      <x:c r="AD11" s="28"/>
      <x:c r="AE11" s="20" t="str">
        <x:f>IF(AD11="","",IF(AD11&gt;=1,18,IF(AD11&gt;=0.8,14,IF(AD11&gt;=0.6,9,4))))</x:f>
      </x:c>
      <x:c r="AF11" s="20"/>
      <x:c r="AG11" s="20"/>
      <x:c r="AH11" s="20"/>
      <x:c r="AI11" s="20"/>
      <x:c r="AJ11" s="20"/>
      <x:c r="AK11" s="20" t="str">
        <x:f>IF(AE11="","",AE11+AF11+AG11+AH11+AI11+AJ11)</x:f>
      </x:c>
      <x:c r="AL11" s="32" t="str">
        <x:f>IF(COUNT(M11,T11,AC11,AK11)=4,M11+T11+AC11+AK11,"")</x:f>
      </x:c>
      <x:c r="AM11" s="20" t="str">
        <x:f>IF(AL11="","",IF(AN11="有","重点关注",IF(AL11&gt;=80,"整体功能较好",IF(AL11&gt;=60,"轻度关注",IF(AL11&gt;=40,"中度关注","高度关注")))))</x:f>
      </x:c>
      <x:c r="AN11" s="20" t="str">
        <x:f>IF(OR(M11&lt;=15,T11&lt;=15,AC11&lt;=15,AK11&lt;=15,AD11&lt;0.6,N11&gt;20,U11=0,E11="是",F11&lt;&gt;"合格"),"有","无")</x:f>
        <x:v>有</x:v>
      </x:c>
      <x:c r="AO11" s="20" t="str">
        <x:f>IF(AL11="","",IF(AN11="有","存在红线或单项明显短板，建议重点关注并结合CGA/医生复核。",IF(AM11="整体功能较好","整体功能较好，建议维持运动并定期复测。",IF(AM11="轻度关注","存在部分功能短板，建议针对性训练与随访。",IF(AM11="中度关注","多项能力下降，建议进一步评估肌少症、衰弱或跌倒风险。","活动能力明显下降，建议临床评估与个体化干预。")))))</x:f>
      </x:c>
    </x:row>
    <x:row r="12">
      <x:c r="A12" s="20"/>
      <x:c r="B12" s="20"/>
      <x:c r="C12" s="20"/>
      <x:c r="D12" s="20"/>
      <x:c r="E12" s="20"/>
      <x:c r="F12" s="20"/>
      <x:c r="G12" s="30"/>
      <x:c r="H12" s="28" t="str">
        <x:f>IF(C12="男",G12/28,IF(C12="女",G12/18,""))</x:f>
      </x:c>
      <x:c r="I12" s="20" t="str">
        <x:f>IF(G12="","",IF(H12&gt;=1.1,18,IF(H12&gt;=1,15,IF(H12&gt;=0.85,11,IF(H12&gt;=0.7,7,3)))))</x:f>
      </x:c>
      <x:c r="J12" s="20"/>
      <x:c r="K12" s="20"/>
      <x:c r="L12" s="20"/>
      <x:c r="M12" s="20" t="str">
        <x:f>IF(I12="","",I12+J12+K12+L12)</x:f>
      </x:c>
      <x:c r="N12" s="30"/>
      <x:c r="O12" s="20" t="str">
        <x:f>IF(N12="","",IF(N12&lt;=10,18,IF(N12&lt;=12,15,IF(N12&lt;=15,10,IF(N12&lt;=20,5,2)))))</x:f>
      </x:c>
      <x:c r="P12" s="20"/>
      <x:c r="Q12" s="20"/>
      <x:c r="R12" s="20"/>
      <x:c r="S12" s="20"/>
      <x:c r="T12" s="20" t="str">
        <x:f>IF(O12="","",O12+P12+Q12+R12+S12)</x:f>
      </x:c>
      <x:c r="U12" s="20"/>
      <x:c r="V12" s="20"/>
      <x:c r="W12" s="30"/>
      <x:c r="X12" s="20" t="str">
        <x:f>IF(W12="","",IF(W12&lt;=10,3,IF(W12&lt;=15,2,IF(W12&lt;=20,1,0))))</x:f>
      </x:c>
      <x:c r="Y12" s="20"/>
      <x:c r="Z12" s="20"/>
      <x:c r="AA12" s="20"/>
      <x:c r="AB12" s="20"/>
      <x:c r="AC12" s="20" t="str">
        <x:f>IF(U12="","",U12+V12+X12+Y12+Z12+AA12+AB12)</x:f>
      </x:c>
      <x:c r="AD12" s="28"/>
      <x:c r="AE12" s="20" t="str">
        <x:f>IF(AD12="","",IF(AD12&gt;=1,18,IF(AD12&gt;=0.8,14,IF(AD12&gt;=0.6,9,4))))</x:f>
      </x:c>
      <x:c r="AF12" s="20"/>
      <x:c r="AG12" s="20"/>
      <x:c r="AH12" s="20"/>
      <x:c r="AI12" s="20"/>
      <x:c r="AJ12" s="20"/>
      <x:c r="AK12" s="20" t="str">
        <x:f>IF(AE12="","",AE12+AF12+AG12+AH12+AI12+AJ12)</x:f>
      </x:c>
      <x:c r="AL12" s="32" t="str">
        <x:f>IF(COUNT(M12,T12,AC12,AK12)=4,M12+T12+AC12+AK12,"")</x:f>
      </x:c>
      <x:c r="AM12" s="20" t="str">
        <x:f>IF(AL12="","",IF(AN12="有","重点关注",IF(AL12&gt;=80,"整体功能较好",IF(AL12&gt;=60,"轻度关注",IF(AL12&gt;=40,"中度关注","高度关注")))))</x:f>
      </x:c>
      <x:c r="AN12" s="20" t="str">
        <x:f>IF(OR(M12&lt;=15,T12&lt;=15,AC12&lt;=15,AK12&lt;=15,AD12&lt;0.6,N12&gt;20,U12=0,E12="是",F12&lt;&gt;"合格"),"有","无")</x:f>
        <x:v>有</x:v>
      </x:c>
      <x:c r="AO12" s="20" t="str">
        <x:f>IF(AL12="","",IF(AN12="有","存在红线或单项明显短板，建议重点关注并结合CGA/医生复核。",IF(AM12="整体功能较好","整体功能较好，建议维持运动并定期复测。",IF(AM12="轻度关注","存在部分功能短板，建议针对性训练与随访。",IF(AM12="中度关注","多项能力下降，建议进一步评估肌少症、衰弱或跌倒风险。","活动能力明显下降，建议临床评估与个体化干预。")))))</x:f>
      </x:c>
    </x:row>
    <x:row r="13">
      <x:c r="A13" s="20"/>
      <x:c r="B13" s="20"/>
      <x:c r="C13" s="20"/>
      <x:c r="D13" s="20"/>
      <x:c r="E13" s="20"/>
      <x:c r="F13" s="20"/>
      <x:c r="G13" s="30"/>
      <x:c r="H13" s="28" t="str">
        <x:f>IF(C13="男",G13/28,IF(C13="女",G13/18,""))</x:f>
      </x:c>
      <x:c r="I13" s="20" t="str">
        <x:f>IF(G13="","",IF(H13&gt;=1.1,18,IF(H13&gt;=1,15,IF(H13&gt;=0.85,11,IF(H13&gt;=0.7,7,3)))))</x:f>
      </x:c>
      <x:c r="J13" s="20"/>
      <x:c r="K13" s="20"/>
      <x:c r="L13" s="20"/>
      <x:c r="M13" s="20" t="str">
        <x:f>IF(I13="","",I13+J13+K13+L13)</x:f>
      </x:c>
      <x:c r="N13" s="30"/>
      <x:c r="O13" s="20" t="str">
        <x:f>IF(N13="","",IF(N13&lt;=10,18,IF(N13&lt;=12,15,IF(N13&lt;=15,10,IF(N13&lt;=20,5,2)))))</x:f>
      </x:c>
      <x:c r="P13" s="20"/>
      <x:c r="Q13" s="20"/>
      <x:c r="R13" s="20"/>
      <x:c r="S13" s="20"/>
      <x:c r="T13" s="20" t="str">
        <x:f>IF(O13="","",O13+P13+Q13+R13+S13)</x:f>
      </x:c>
      <x:c r="U13" s="20"/>
      <x:c r="V13" s="20"/>
      <x:c r="W13" s="30"/>
      <x:c r="X13" s="20" t="str">
        <x:f>IF(W13="","",IF(W13&lt;=10,3,IF(W13&lt;=15,2,IF(W13&lt;=20,1,0))))</x:f>
      </x:c>
      <x:c r="Y13" s="20"/>
      <x:c r="Z13" s="20"/>
      <x:c r="AA13" s="20"/>
      <x:c r="AB13" s="20"/>
      <x:c r="AC13" s="20" t="str">
        <x:f>IF(U13="","",U13+V13+X13+Y13+Z13+AA13+AB13)</x:f>
      </x:c>
      <x:c r="AD13" s="28"/>
      <x:c r="AE13" s="20" t="str">
        <x:f>IF(AD13="","",IF(AD13&gt;=1,18,IF(AD13&gt;=0.8,14,IF(AD13&gt;=0.6,9,4))))</x:f>
      </x:c>
      <x:c r="AF13" s="20"/>
      <x:c r="AG13" s="20"/>
      <x:c r="AH13" s="20"/>
      <x:c r="AI13" s="20"/>
      <x:c r="AJ13" s="20"/>
      <x:c r="AK13" s="20" t="str">
        <x:f>IF(AE13="","",AE13+AF13+AG13+AH13+AI13+AJ13)</x:f>
      </x:c>
      <x:c r="AL13" s="32" t="str">
        <x:f>IF(COUNT(M13,T13,AC13,AK13)=4,M13+T13+AC13+AK13,"")</x:f>
      </x:c>
      <x:c r="AM13" s="20" t="str">
        <x:f>IF(AL13="","",IF(AN13="有","重点关注",IF(AL13&gt;=80,"整体功能较好",IF(AL13&gt;=60,"轻度关注",IF(AL13&gt;=40,"中度关注","高度关注")))))</x:f>
      </x:c>
      <x:c r="AN13" s="20" t="str">
        <x:f>IF(OR(M13&lt;=15,T13&lt;=15,AC13&lt;=15,AK13&lt;=15,AD13&lt;0.6,N13&gt;20,U13=0,E13="是",F13&lt;&gt;"合格"),"有","无")</x:f>
        <x:v>有</x:v>
      </x:c>
      <x:c r="AO13" s="20" t="str">
        <x:f>IF(AL13="","",IF(AN13="有","存在红线或单项明显短板，建议重点关注并结合CGA/医生复核。",IF(AM13="整体功能较好","整体功能较好，建议维持运动并定期复测。",IF(AM13="轻度关注","存在部分功能短板，建议针对性训练与随访。",IF(AM13="中度关注","多项能力下降，建议进一步评估肌少症、衰弱或跌倒风险。","活动能力明显下降，建议临床评估与个体化干预。")))))</x:f>
      </x:c>
    </x:row>
    <x:row r="14">
      <x:c r="A14" s="20"/>
      <x:c r="B14" s="20"/>
      <x:c r="C14" s="20"/>
      <x:c r="D14" s="20"/>
      <x:c r="E14" s="20"/>
      <x:c r="F14" s="20"/>
      <x:c r="G14" s="30"/>
      <x:c r="H14" s="28" t="str">
        <x:f>IF(C14="男",G14/28,IF(C14="女",G14/18,""))</x:f>
      </x:c>
      <x:c r="I14" s="20" t="str">
        <x:f>IF(G14="","",IF(H14&gt;=1.1,18,IF(H14&gt;=1,15,IF(H14&gt;=0.85,11,IF(H14&gt;=0.7,7,3)))))</x:f>
      </x:c>
      <x:c r="J14" s="20"/>
      <x:c r="K14" s="20"/>
      <x:c r="L14" s="20"/>
      <x:c r="M14" s="20" t="str">
        <x:f>IF(I14="","",I14+J14+K14+L14)</x:f>
      </x:c>
      <x:c r="N14" s="30"/>
      <x:c r="O14" s="20" t="str">
        <x:f>IF(N14="","",IF(N14&lt;=10,18,IF(N14&lt;=12,15,IF(N14&lt;=15,10,IF(N14&lt;=20,5,2)))))</x:f>
      </x:c>
      <x:c r="P14" s="20"/>
      <x:c r="Q14" s="20"/>
      <x:c r="R14" s="20"/>
      <x:c r="S14" s="20"/>
      <x:c r="T14" s="20" t="str">
        <x:f>IF(O14="","",O14+P14+Q14+R14+S14)</x:f>
      </x:c>
      <x:c r="U14" s="20"/>
      <x:c r="V14" s="20"/>
      <x:c r="W14" s="30"/>
      <x:c r="X14" s="20" t="str">
        <x:f>IF(W14="","",IF(W14&lt;=10,3,IF(W14&lt;=15,2,IF(W14&lt;=20,1,0))))</x:f>
      </x:c>
      <x:c r="Y14" s="20"/>
      <x:c r="Z14" s="20"/>
      <x:c r="AA14" s="20"/>
      <x:c r="AB14" s="20"/>
      <x:c r="AC14" s="20" t="str">
        <x:f>IF(U14="","",U14+V14+X14+Y14+Z14+AA14+AB14)</x:f>
      </x:c>
      <x:c r="AD14" s="28"/>
      <x:c r="AE14" s="20" t="str">
        <x:f>IF(AD14="","",IF(AD14&gt;=1,18,IF(AD14&gt;=0.8,14,IF(AD14&gt;=0.6,9,4))))</x:f>
      </x:c>
      <x:c r="AF14" s="20"/>
      <x:c r="AG14" s="20"/>
      <x:c r="AH14" s="20"/>
      <x:c r="AI14" s="20"/>
      <x:c r="AJ14" s="20"/>
      <x:c r="AK14" s="20" t="str">
        <x:f>IF(AE14="","",AE14+AF14+AG14+AH14+AI14+AJ14)</x:f>
      </x:c>
      <x:c r="AL14" s="32" t="str">
        <x:f>IF(COUNT(M14,T14,AC14,AK14)=4,M14+T14+AC14+AK14,"")</x:f>
      </x:c>
      <x:c r="AM14" s="20" t="str">
        <x:f>IF(AL14="","",IF(AN14="有","重点关注",IF(AL14&gt;=80,"整体功能较好",IF(AL14&gt;=60,"轻度关注",IF(AL14&gt;=40,"中度关注","高度关注")))))</x:f>
      </x:c>
      <x:c r="AN14" s="20" t="str">
        <x:f>IF(OR(M14&lt;=15,T14&lt;=15,AC14&lt;=15,AK14&lt;=15,AD14&lt;0.6,N14&gt;20,U14=0,E14="是",F14&lt;&gt;"合格"),"有","无")</x:f>
        <x:v>有</x:v>
      </x:c>
      <x:c r="AO14" s="20" t="str">
        <x:f>IF(AL14="","",IF(AN14="有","存在红线或单项明显短板，建议重点关注并结合CGA/医生复核。",IF(AM14="整体功能较好","整体功能较好，建议维持运动并定期复测。",IF(AM14="轻度关注","存在部分功能短板，建议针对性训练与随访。",IF(AM14="中度关注","多项能力下降，建议进一步评估肌少症、衰弱或跌倒风险。","活动能力明显下降，建议临床评估与个体化干预。")))))</x:f>
      </x:c>
    </x:row>
    <x:row r="15">
      <x:c r="A15" s="20"/>
      <x:c r="B15" s="20"/>
      <x:c r="C15" s="20"/>
      <x:c r="D15" s="20"/>
      <x:c r="E15" s="20"/>
      <x:c r="F15" s="20"/>
      <x:c r="G15" s="30"/>
      <x:c r="H15" s="28" t="str">
        <x:f>IF(C15="男",G15/28,IF(C15="女",G15/18,""))</x:f>
      </x:c>
      <x:c r="I15" s="20" t="str">
        <x:f>IF(G15="","",IF(H15&gt;=1.1,18,IF(H15&gt;=1,15,IF(H15&gt;=0.85,11,IF(H15&gt;=0.7,7,3)))))</x:f>
      </x:c>
      <x:c r="J15" s="20"/>
      <x:c r="K15" s="20"/>
      <x:c r="L15" s="20"/>
      <x:c r="M15" s="20" t="str">
        <x:f>IF(I15="","",I15+J15+K15+L15)</x:f>
      </x:c>
      <x:c r="N15" s="30"/>
      <x:c r="O15" s="20" t="str">
        <x:f>IF(N15="","",IF(N15&lt;=10,18,IF(N15&lt;=12,15,IF(N15&lt;=15,10,IF(N15&lt;=20,5,2)))))</x:f>
      </x:c>
      <x:c r="P15" s="20"/>
      <x:c r="Q15" s="20"/>
      <x:c r="R15" s="20"/>
      <x:c r="S15" s="20"/>
      <x:c r="T15" s="20" t="str">
        <x:f>IF(O15="","",O15+P15+Q15+R15+S15)</x:f>
      </x:c>
      <x:c r="U15" s="20"/>
      <x:c r="V15" s="20"/>
      <x:c r="W15" s="30"/>
      <x:c r="X15" s="20" t="str">
        <x:f>IF(W15="","",IF(W15&lt;=10,3,IF(W15&lt;=15,2,IF(W15&lt;=20,1,0))))</x:f>
      </x:c>
      <x:c r="Y15" s="20"/>
      <x:c r="Z15" s="20"/>
      <x:c r="AA15" s="20"/>
      <x:c r="AB15" s="20"/>
      <x:c r="AC15" s="20" t="str">
        <x:f>IF(U15="","",U15+V15+X15+Y15+Z15+AA15+AB15)</x:f>
      </x:c>
      <x:c r="AD15" s="28"/>
      <x:c r="AE15" s="20" t="str">
        <x:f>IF(AD15="","",IF(AD15&gt;=1,18,IF(AD15&gt;=0.8,14,IF(AD15&gt;=0.6,9,4))))</x:f>
      </x:c>
      <x:c r="AF15" s="20"/>
      <x:c r="AG15" s="20"/>
      <x:c r="AH15" s="20"/>
      <x:c r="AI15" s="20"/>
      <x:c r="AJ15" s="20"/>
      <x:c r="AK15" s="20" t="str">
        <x:f>IF(AE15="","",AE15+AF15+AG15+AH15+AI15+AJ15)</x:f>
      </x:c>
      <x:c r="AL15" s="32" t="str">
        <x:f>IF(COUNT(M15,T15,AC15,AK15)=4,M15+T15+AC15+AK15,"")</x:f>
      </x:c>
      <x:c r="AM15" s="20" t="str">
        <x:f>IF(AL15="","",IF(AN15="有","重点关注",IF(AL15&gt;=80,"整体功能较好",IF(AL15&gt;=60,"轻度关注",IF(AL15&gt;=40,"中度关注","高度关注")))))</x:f>
      </x:c>
      <x:c r="AN15" s="20" t="str">
        <x:f>IF(OR(M15&lt;=15,T15&lt;=15,AC15&lt;=15,AK15&lt;=15,AD15&lt;0.6,N15&gt;20,U15=0,E15="是",F15&lt;&gt;"合格"),"有","无")</x:f>
        <x:v>有</x:v>
      </x:c>
      <x:c r="AO15" s="20" t="str">
        <x:f>IF(AL15="","",IF(AN15="有","存在红线或单项明显短板，建议重点关注并结合CGA/医生复核。",IF(AM15="整体功能较好","整体功能较好，建议维持运动并定期复测。",IF(AM15="轻度关注","存在部分功能短板，建议针对性训练与随访。",IF(AM15="中度关注","多项能力下降，建议进一步评估肌少症、衰弱或跌倒风险。","活动能力明显下降，建议临床评估与个体化干预。")))))</x:f>
      </x:c>
    </x:row>
    <x:row r="16">
      <x:c r="A16" s="20"/>
      <x:c r="B16" s="20"/>
      <x:c r="C16" s="20"/>
      <x:c r="D16" s="20"/>
      <x:c r="E16" s="20"/>
      <x:c r="F16" s="20"/>
      <x:c r="G16" s="30"/>
      <x:c r="H16" s="28" t="str">
        <x:f>IF(C16="男",G16/28,IF(C16="女",G16/18,""))</x:f>
      </x:c>
      <x:c r="I16" s="20" t="str">
        <x:f>IF(G16="","",IF(H16&gt;=1.1,18,IF(H16&gt;=1,15,IF(H16&gt;=0.85,11,IF(H16&gt;=0.7,7,3)))))</x:f>
      </x:c>
      <x:c r="J16" s="20"/>
      <x:c r="K16" s="20"/>
      <x:c r="L16" s="20"/>
      <x:c r="M16" s="20" t="str">
        <x:f>IF(I16="","",I16+J16+K16+L16)</x:f>
      </x:c>
      <x:c r="N16" s="30"/>
      <x:c r="O16" s="20" t="str">
        <x:f>IF(N16="","",IF(N16&lt;=10,18,IF(N16&lt;=12,15,IF(N16&lt;=15,10,IF(N16&lt;=20,5,2)))))</x:f>
      </x:c>
      <x:c r="P16" s="20"/>
      <x:c r="Q16" s="20"/>
      <x:c r="R16" s="20"/>
      <x:c r="S16" s="20"/>
      <x:c r="T16" s="20" t="str">
        <x:f>IF(O16="","",O16+P16+Q16+R16+S16)</x:f>
      </x:c>
      <x:c r="U16" s="20"/>
      <x:c r="V16" s="20"/>
      <x:c r="W16" s="30"/>
      <x:c r="X16" s="20" t="str">
        <x:f>IF(W16="","",IF(W16&lt;=10,3,IF(W16&lt;=15,2,IF(W16&lt;=20,1,0))))</x:f>
      </x:c>
      <x:c r="Y16" s="20"/>
      <x:c r="Z16" s="20"/>
      <x:c r="AA16" s="20"/>
      <x:c r="AB16" s="20"/>
      <x:c r="AC16" s="20" t="str">
        <x:f>IF(U16="","",U16+V16+X16+Y16+Z16+AA16+AB16)</x:f>
      </x:c>
      <x:c r="AD16" s="28"/>
      <x:c r="AE16" s="20" t="str">
        <x:f>IF(AD16="","",IF(AD16&gt;=1,18,IF(AD16&gt;=0.8,14,IF(AD16&gt;=0.6,9,4))))</x:f>
      </x:c>
      <x:c r="AF16" s="20"/>
      <x:c r="AG16" s="20"/>
      <x:c r="AH16" s="20"/>
      <x:c r="AI16" s="20"/>
      <x:c r="AJ16" s="20"/>
      <x:c r="AK16" s="20" t="str">
        <x:f>IF(AE16="","",AE16+AF16+AG16+AH16+AI16+AJ16)</x:f>
      </x:c>
      <x:c r="AL16" s="32" t="str">
        <x:f>IF(COUNT(M16,T16,AC16,AK16)=4,M16+T16+AC16+AK16,"")</x:f>
      </x:c>
      <x:c r="AM16" s="20" t="str">
        <x:f>IF(AL16="","",IF(AN16="有","重点关注",IF(AL16&gt;=80,"整体功能较好",IF(AL16&gt;=60,"轻度关注",IF(AL16&gt;=40,"中度关注","高度关注")))))</x:f>
      </x:c>
      <x:c r="AN16" s="20" t="str">
        <x:f>IF(OR(M16&lt;=15,T16&lt;=15,AC16&lt;=15,AK16&lt;=15,AD16&lt;0.6,N16&gt;20,U16=0,E16="是",F16&lt;&gt;"合格"),"有","无")</x:f>
        <x:v>有</x:v>
      </x:c>
      <x:c r="AO16" s="20" t="str">
        <x:f>IF(AL16="","",IF(AN16="有","存在红线或单项明显短板，建议重点关注并结合CGA/医生复核。",IF(AM16="整体功能较好","整体功能较好，建议维持运动并定期复测。",IF(AM16="轻度关注","存在部分功能短板，建议针对性训练与随访。",IF(AM16="中度关注","多项能力下降，建议进一步评估肌少症、衰弱或跌倒风险。","活动能力明显下降，建议临床评估与个体化干预。")))))</x:f>
      </x:c>
    </x:row>
    <x:row r="17">
      <x:c r="A17" s="20"/>
      <x:c r="B17" s="20"/>
      <x:c r="C17" s="20"/>
      <x:c r="D17" s="20"/>
      <x:c r="E17" s="20"/>
      <x:c r="F17" s="20"/>
      <x:c r="G17" s="30"/>
      <x:c r="H17" s="28" t="str">
        <x:f>IF(C17="男",G17/28,IF(C17="女",G17/18,""))</x:f>
      </x:c>
      <x:c r="I17" s="20" t="str">
        <x:f>IF(G17="","",IF(H17&gt;=1.1,18,IF(H17&gt;=1,15,IF(H17&gt;=0.85,11,IF(H17&gt;=0.7,7,3)))))</x:f>
      </x:c>
      <x:c r="J17" s="20"/>
      <x:c r="K17" s="20"/>
      <x:c r="L17" s="20"/>
      <x:c r="M17" s="20" t="str">
        <x:f>IF(I17="","",I17+J17+K17+L17)</x:f>
      </x:c>
      <x:c r="N17" s="30"/>
      <x:c r="O17" s="20" t="str">
        <x:f>IF(N17="","",IF(N17&lt;=10,18,IF(N17&lt;=12,15,IF(N17&lt;=15,10,IF(N17&lt;=20,5,2)))))</x:f>
      </x:c>
      <x:c r="P17" s="20"/>
      <x:c r="Q17" s="20"/>
      <x:c r="R17" s="20"/>
      <x:c r="S17" s="20"/>
      <x:c r="T17" s="20" t="str">
        <x:f>IF(O17="","",O17+P17+Q17+R17+S17)</x:f>
      </x:c>
      <x:c r="U17" s="20"/>
      <x:c r="V17" s="20"/>
      <x:c r="W17" s="30"/>
      <x:c r="X17" s="20" t="str">
        <x:f>IF(W17="","",IF(W17&lt;=10,3,IF(W17&lt;=15,2,IF(W17&lt;=20,1,0))))</x:f>
      </x:c>
      <x:c r="Y17" s="20"/>
      <x:c r="Z17" s="20"/>
      <x:c r="AA17" s="20"/>
      <x:c r="AB17" s="20"/>
      <x:c r="AC17" s="20" t="str">
        <x:f>IF(U17="","",U17+V17+X17+Y17+Z17+AA17+AB17)</x:f>
      </x:c>
      <x:c r="AD17" s="28"/>
      <x:c r="AE17" s="20" t="str">
        <x:f>IF(AD17="","",IF(AD17&gt;=1,18,IF(AD17&gt;=0.8,14,IF(AD17&gt;=0.6,9,4))))</x:f>
      </x:c>
      <x:c r="AF17" s="20"/>
      <x:c r="AG17" s="20"/>
      <x:c r="AH17" s="20"/>
      <x:c r="AI17" s="20"/>
      <x:c r="AJ17" s="20"/>
      <x:c r="AK17" s="20" t="str">
        <x:f>IF(AE17="","",AE17+AF17+AG17+AH17+AI17+AJ17)</x:f>
      </x:c>
      <x:c r="AL17" s="32" t="str">
        <x:f>IF(COUNT(M17,T17,AC17,AK17)=4,M17+T17+AC17+AK17,"")</x:f>
      </x:c>
      <x:c r="AM17" s="20" t="str">
        <x:f>IF(AL17="","",IF(AN17="有","重点关注",IF(AL17&gt;=80,"整体功能较好",IF(AL17&gt;=60,"轻度关注",IF(AL17&gt;=40,"中度关注","高度关注")))))</x:f>
      </x:c>
      <x:c r="AN17" s="20" t="str">
        <x:f>IF(OR(M17&lt;=15,T17&lt;=15,AC17&lt;=15,AK17&lt;=15,AD17&lt;0.6,N17&gt;20,U17=0,E17="是",F17&lt;&gt;"合格"),"有","无")</x:f>
        <x:v>有</x:v>
      </x:c>
      <x:c r="AO17" s="20" t="str">
        <x:f>IF(AL17="","",IF(AN17="有","存在红线或单项明显短板，建议重点关注并结合CGA/医生复核。",IF(AM17="整体功能较好","整体功能较好，建议维持运动并定期复测。",IF(AM17="轻度关注","存在部分功能短板，建议针对性训练与随访。",IF(AM17="中度关注","多项能力下降，建议进一步评估肌少症、衰弱或跌倒风险。","活动能力明显下降，建议临床评估与个体化干预。")))))</x:f>
      </x:c>
    </x:row>
    <x:row r="18">
      <x:c r="A18" s="20"/>
      <x:c r="B18" s="20"/>
      <x:c r="C18" s="20"/>
      <x:c r="D18" s="20"/>
      <x:c r="E18" s="20"/>
      <x:c r="F18" s="20"/>
      <x:c r="G18" s="30"/>
      <x:c r="H18" s="28" t="str">
        <x:f>IF(C18="男",G18/28,IF(C18="女",G18/18,""))</x:f>
      </x:c>
      <x:c r="I18" s="20" t="str">
        <x:f>IF(G18="","",IF(H18&gt;=1.1,18,IF(H18&gt;=1,15,IF(H18&gt;=0.85,11,IF(H18&gt;=0.7,7,3)))))</x:f>
      </x:c>
      <x:c r="J18" s="20"/>
      <x:c r="K18" s="20"/>
      <x:c r="L18" s="20"/>
      <x:c r="M18" s="20" t="str">
        <x:f>IF(I18="","",I18+J18+K18+L18)</x:f>
      </x:c>
      <x:c r="N18" s="30"/>
      <x:c r="O18" s="20" t="str">
        <x:f>IF(N18="","",IF(N18&lt;=10,18,IF(N18&lt;=12,15,IF(N18&lt;=15,10,IF(N18&lt;=20,5,2)))))</x:f>
      </x:c>
      <x:c r="P18" s="20"/>
      <x:c r="Q18" s="20"/>
      <x:c r="R18" s="20"/>
      <x:c r="S18" s="20"/>
      <x:c r="T18" s="20" t="str">
        <x:f>IF(O18="","",O18+P18+Q18+R18+S18)</x:f>
      </x:c>
      <x:c r="U18" s="20"/>
      <x:c r="V18" s="20"/>
      <x:c r="W18" s="30"/>
      <x:c r="X18" s="20" t="str">
        <x:f>IF(W18="","",IF(W18&lt;=10,3,IF(W18&lt;=15,2,IF(W18&lt;=20,1,0))))</x:f>
      </x:c>
      <x:c r="Y18" s="20"/>
      <x:c r="Z18" s="20"/>
      <x:c r="AA18" s="20"/>
      <x:c r="AB18" s="20"/>
      <x:c r="AC18" s="20" t="str">
        <x:f>IF(U18="","",U18+V18+X18+Y18+Z18+AA18+AB18)</x:f>
      </x:c>
      <x:c r="AD18" s="28"/>
      <x:c r="AE18" s="20" t="str">
        <x:f>IF(AD18="","",IF(AD18&gt;=1,18,IF(AD18&gt;=0.8,14,IF(AD18&gt;=0.6,9,4))))</x:f>
      </x:c>
      <x:c r="AF18" s="20"/>
      <x:c r="AG18" s="20"/>
      <x:c r="AH18" s="20"/>
      <x:c r="AI18" s="20"/>
      <x:c r="AJ18" s="20"/>
      <x:c r="AK18" s="20" t="str">
        <x:f>IF(AE18="","",AE18+AF18+AG18+AH18+AI18+AJ18)</x:f>
      </x:c>
      <x:c r="AL18" s="32" t="str">
        <x:f>IF(COUNT(M18,T18,AC18,AK18)=4,M18+T18+AC18+AK18,"")</x:f>
      </x:c>
      <x:c r="AM18" s="20" t="str">
        <x:f>IF(AL18="","",IF(AN18="有","重点关注",IF(AL18&gt;=80,"整体功能较好",IF(AL18&gt;=60,"轻度关注",IF(AL18&gt;=40,"中度关注","高度关注")))))</x:f>
      </x:c>
      <x:c r="AN18" s="20" t="str">
        <x:f>IF(OR(M18&lt;=15,T18&lt;=15,AC18&lt;=15,AK18&lt;=15,AD18&lt;0.6,N18&gt;20,U18=0,E18="是",F18&lt;&gt;"合格"),"有","无")</x:f>
        <x:v>有</x:v>
      </x:c>
      <x:c r="AO18" s="20" t="str">
        <x:f>IF(AL18="","",IF(AN18="有","存在红线或单项明显短板，建议重点关注并结合CGA/医生复核。",IF(AM18="整体功能较好","整体功能较好，建议维持运动并定期复测。",IF(AM18="轻度关注","存在部分功能短板，建议针对性训练与随访。",IF(AM18="中度关注","多项能力下降，建议进一步评估肌少症、衰弱或跌倒风险。","活动能力明显下降，建议临床评估与个体化干预。")))))</x:f>
      </x:c>
    </x:row>
    <x:row r="19">
      <x:c r="A19" s="20"/>
      <x:c r="B19" s="20"/>
      <x:c r="C19" s="20"/>
      <x:c r="D19" s="20"/>
      <x:c r="E19" s="20"/>
      <x:c r="F19" s="20"/>
      <x:c r="G19" s="30"/>
      <x:c r="H19" s="28" t="str">
        <x:f>IF(C19="男",G19/28,IF(C19="女",G19/18,""))</x:f>
      </x:c>
      <x:c r="I19" s="20" t="str">
        <x:f>IF(G19="","",IF(H19&gt;=1.1,18,IF(H19&gt;=1,15,IF(H19&gt;=0.85,11,IF(H19&gt;=0.7,7,3)))))</x:f>
      </x:c>
      <x:c r="J19" s="20"/>
      <x:c r="K19" s="20"/>
      <x:c r="L19" s="20"/>
      <x:c r="M19" s="20" t="str">
        <x:f>IF(I19="","",I19+J19+K19+L19)</x:f>
      </x:c>
      <x:c r="N19" s="30"/>
      <x:c r="O19" s="20" t="str">
        <x:f>IF(N19="","",IF(N19&lt;=10,18,IF(N19&lt;=12,15,IF(N19&lt;=15,10,IF(N19&lt;=20,5,2)))))</x:f>
      </x:c>
      <x:c r="P19" s="20"/>
      <x:c r="Q19" s="20"/>
      <x:c r="R19" s="20"/>
      <x:c r="S19" s="20"/>
      <x:c r="T19" s="20" t="str">
        <x:f>IF(O19="","",O19+P19+Q19+R19+S19)</x:f>
      </x:c>
      <x:c r="U19" s="20"/>
      <x:c r="V19" s="20"/>
      <x:c r="W19" s="30"/>
      <x:c r="X19" s="20" t="str">
        <x:f>IF(W19="","",IF(W19&lt;=10,3,IF(W19&lt;=15,2,IF(W19&lt;=20,1,0))))</x:f>
      </x:c>
      <x:c r="Y19" s="20"/>
      <x:c r="Z19" s="20"/>
      <x:c r="AA19" s="20"/>
      <x:c r="AB19" s="20"/>
      <x:c r="AC19" s="20" t="str">
        <x:f>IF(U19="","",U19+V19+X19+Y19+Z19+AA19+AB19)</x:f>
      </x:c>
      <x:c r="AD19" s="28"/>
      <x:c r="AE19" s="20" t="str">
        <x:f>IF(AD19="","",IF(AD19&gt;=1,18,IF(AD19&gt;=0.8,14,IF(AD19&gt;=0.6,9,4))))</x:f>
      </x:c>
      <x:c r="AF19" s="20"/>
      <x:c r="AG19" s="20"/>
      <x:c r="AH19" s="20"/>
      <x:c r="AI19" s="20"/>
      <x:c r="AJ19" s="20"/>
      <x:c r="AK19" s="20" t="str">
        <x:f>IF(AE19="","",AE19+AF19+AG19+AH19+AI19+AJ19)</x:f>
      </x:c>
      <x:c r="AL19" s="32" t="str">
        <x:f>IF(COUNT(M19,T19,AC19,AK19)=4,M19+T19+AC19+AK19,"")</x:f>
      </x:c>
      <x:c r="AM19" s="20" t="str">
        <x:f>IF(AL19="","",IF(AN19="有","重点关注",IF(AL19&gt;=80,"整体功能较好",IF(AL19&gt;=60,"轻度关注",IF(AL19&gt;=40,"中度关注","高度关注")))))</x:f>
      </x:c>
      <x:c r="AN19" s="20" t="str">
        <x:f>IF(OR(M19&lt;=15,T19&lt;=15,AC19&lt;=15,AK19&lt;=15,AD19&lt;0.6,N19&gt;20,U19=0,E19="是",F19&lt;&gt;"合格"),"有","无")</x:f>
        <x:v>有</x:v>
      </x:c>
      <x:c r="AO19" s="20" t="str">
        <x:f>IF(AL19="","",IF(AN19="有","存在红线或单项明显短板，建议重点关注并结合CGA/医生复核。",IF(AM19="整体功能较好","整体功能较好，建议维持运动并定期复测。",IF(AM19="轻度关注","存在部分功能短板，建议针对性训练与随访。",IF(AM19="中度关注","多项能力下降，建议进一步评估肌少症、衰弱或跌倒风险。","活动能力明显下降，建议临床评估与个体化干预。")))))</x:f>
      </x:c>
    </x:row>
    <x:row r="20">
      <x:c r="A20" s="20"/>
      <x:c r="B20" s="20"/>
      <x:c r="C20" s="20"/>
      <x:c r="D20" s="20"/>
      <x:c r="E20" s="20"/>
      <x:c r="F20" s="20"/>
      <x:c r="G20" s="30"/>
      <x:c r="H20" s="28" t="str">
        <x:f>IF(C20="男",G20/28,IF(C20="女",G20/18,""))</x:f>
      </x:c>
      <x:c r="I20" s="20" t="str">
        <x:f>IF(G20="","",IF(H20&gt;=1.1,18,IF(H20&gt;=1,15,IF(H20&gt;=0.85,11,IF(H20&gt;=0.7,7,3)))))</x:f>
      </x:c>
      <x:c r="J20" s="20"/>
      <x:c r="K20" s="20"/>
      <x:c r="L20" s="20"/>
      <x:c r="M20" s="20" t="str">
        <x:f>IF(I20="","",I20+J20+K20+L20)</x:f>
      </x:c>
      <x:c r="N20" s="30"/>
      <x:c r="O20" s="20" t="str">
        <x:f>IF(N20="","",IF(N20&lt;=10,18,IF(N20&lt;=12,15,IF(N20&lt;=15,10,IF(N20&lt;=20,5,2)))))</x:f>
      </x:c>
      <x:c r="P20" s="20"/>
      <x:c r="Q20" s="20"/>
      <x:c r="R20" s="20"/>
      <x:c r="S20" s="20"/>
      <x:c r="T20" s="20" t="str">
        <x:f>IF(O20="","",O20+P20+Q20+R20+S20)</x:f>
      </x:c>
      <x:c r="U20" s="20"/>
      <x:c r="V20" s="20"/>
      <x:c r="W20" s="30"/>
      <x:c r="X20" s="20" t="str">
        <x:f>IF(W20="","",IF(W20&lt;=10,3,IF(W20&lt;=15,2,IF(W20&lt;=20,1,0))))</x:f>
      </x:c>
      <x:c r="Y20" s="20"/>
      <x:c r="Z20" s="20"/>
      <x:c r="AA20" s="20"/>
      <x:c r="AB20" s="20"/>
      <x:c r="AC20" s="20" t="str">
        <x:f>IF(U20="","",U20+V20+X20+Y20+Z20+AA20+AB20)</x:f>
      </x:c>
      <x:c r="AD20" s="28"/>
      <x:c r="AE20" s="20" t="str">
        <x:f>IF(AD20="","",IF(AD20&gt;=1,18,IF(AD20&gt;=0.8,14,IF(AD20&gt;=0.6,9,4))))</x:f>
      </x:c>
      <x:c r="AF20" s="20"/>
      <x:c r="AG20" s="20"/>
      <x:c r="AH20" s="20"/>
      <x:c r="AI20" s="20"/>
      <x:c r="AJ20" s="20"/>
      <x:c r="AK20" s="20" t="str">
        <x:f>IF(AE20="","",AE20+AF20+AG20+AH20+AI20+AJ20)</x:f>
      </x:c>
      <x:c r="AL20" s="32" t="str">
        <x:f>IF(COUNT(M20,T20,AC20,AK20)=4,M20+T20+AC20+AK20,"")</x:f>
      </x:c>
      <x:c r="AM20" s="20" t="str">
        <x:f>IF(AL20="","",IF(AN20="有","重点关注",IF(AL20&gt;=80,"整体功能较好",IF(AL20&gt;=60,"轻度关注",IF(AL20&gt;=40,"中度关注","高度关注")))))</x:f>
      </x:c>
      <x:c r="AN20" s="20" t="str">
        <x:f>IF(OR(M20&lt;=15,T20&lt;=15,AC20&lt;=15,AK20&lt;=15,AD20&lt;0.6,N20&gt;20,U20=0,E20="是",F20&lt;&gt;"合格"),"有","无")</x:f>
        <x:v>有</x:v>
      </x:c>
      <x:c r="AO20" s="20" t="str">
        <x:f>IF(AL20="","",IF(AN20="有","存在红线或单项明显短板，建议重点关注并结合CGA/医生复核。",IF(AM20="整体功能较好","整体功能较好，建议维持运动并定期复测。",IF(AM20="轻度关注","存在部分功能短板，建议针对性训练与随访。",IF(AM20="中度关注","多项能力下降，建议进一步评估肌少症、衰弱或跌倒风险。","活动能力明显下降，建议临床评估与个体化干预。")))))</x:f>
      </x:c>
    </x:row>
    <x:row r="21">
      <x:c r="A21" s="20"/>
      <x:c r="B21" s="20"/>
      <x:c r="C21" s="20"/>
      <x:c r="D21" s="20"/>
      <x:c r="E21" s="20"/>
      <x:c r="F21" s="20"/>
      <x:c r="G21" s="30"/>
      <x:c r="H21" s="28" t="str">
        <x:f>IF(C21="男",G21/28,IF(C21="女",G21/18,""))</x:f>
      </x:c>
      <x:c r="I21" s="20" t="str">
        <x:f>IF(G21="","",IF(H21&gt;=1.1,18,IF(H21&gt;=1,15,IF(H21&gt;=0.85,11,IF(H21&gt;=0.7,7,3)))))</x:f>
      </x:c>
      <x:c r="J21" s="20"/>
      <x:c r="K21" s="20"/>
      <x:c r="L21" s="20"/>
      <x:c r="M21" s="20" t="str">
        <x:f>IF(I21="","",I21+J21+K21+L21)</x:f>
      </x:c>
      <x:c r="N21" s="30"/>
      <x:c r="O21" s="20" t="str">
        <x:f>IF(N21="","",IF(N21&lt;=10,18,IF(N21&lt;=12,15,IF(N21&lt;=15,10,IF(N21&lt;=20,5,2)))))</x:f>
      </x:c>
      <x:c r="P21" s="20"/>
      <x:c r="Q21" s="20"/>
      <x:c r="R21" s="20"/>
      <x:c r="S21" s="20"/>
      <x:c r="T21" s="20" t="str">
        <x:f>IF(O21="","",O21+P21+Q21+R21+S21)</x:f>
      </x:c>
      <x:c r="U21" s="20"/>
      <x:c r="V21" s="20"/>
      <x:c r="W21" s="30"/>
      <x:c r="X21" s="20" t="str">
        <x:f>IF(W21="","",IF(W21&lt;=10,3,IF(W21&lt;=15,2,IF(W21&lt;=20,1,0))))</x:f>
      </x:c>
      <x:c r="Y21" s="20"/>
      <x:c r="Z21" s="20"/>
      <x:c r="AA21" s="20"/>
      <x:c r="AB21" s="20"/>
      <x:c r="AC21" s="20" t="str">
        <x:f>IF(U21="","",U21+V21+X21+Y21+Z21+AA21+AB21)</x:f>
      </x:c>
      <x:c r="AD21" s="28"/>
      <x:c r="AE21" s="20" t="str">
        <x:f>IF(AD21="","",IF(AD21&gt;=1,18,IF(AD21&gt;=0.8,14,IF(AD21&gt;=0.6,9,4))))</x:f>
      </x:c>
      <x:c r="AF21" s="20"/>
      <x:c r="AG21" s="20"/>
      <x:c r="AH21" s="20"/>
      <x:c r="AI21" s="20"/>
      <x:c r="AJ21" s="20"/>
      <x:c r="AK21" s="20" t="str">
        <x:f>IF(AE21="","",AE21+AF21+AG21+AH21+AI21+AJ21)</x:f>
      </x:c>
      <x:c r="AL21" s="32" t="str">
        <x:f>IF(COUNT(M21,T21,AC21,AK21)=4,M21+T21+AC21+AK21,"")</x:f>
      </x:c>
      <x:c r="AM21" s="20" t="str">
        <x:f>IF(AL21="","",IF(AN21="有","重点关注",IF(AL21&gt;=80,"整体功能较好",IF(AL21&gt;=60,"轻度关注",IF(AL21&gt;=40,"中度关注","高度关注")))))</x:f>
      </x:c>
      <x:c r="AN21" s="20" t="str">
        <x:f>IF(OR(M21&lt;=15,T21&lt;=15,AC21&lt;=15,AK21&lt;=15,AD21&lt;0.6,N21&gt;20,U21=0,E21="是",F21&lt;&gt;"合格"),"有","无")</x:f>
        <x:v>有</x:v>
      </x:c>
      <x:c r="AO21" s="20" t="str">
        <x:f>IF(AL21="","",IF(AN21="有","存在红线或单项明显短板，建议重点关注并结合CGA/医生复核。",IF(AM21="整体功能较好","整体功能较好，建议维持运动并定期复测。",IF(AM21="轻度关注","存在部分功能短板，建议针对性训练与随访。",IF(AM21="中度关注","多项能力下降，建议进一步评估肌少症、衰弱或跌倒风险。","活动能力明显下降，建议临床评估与个体化干预。")))))</x:f>
      </x:c>
    </x:row>
    <x:row r="22">
      <x:c r="A22" s="20"/>
      <x:c r="B22" s="20"/>
      <x:c r="C22" s="20"/>
      <x:c r="D22" s="20"/>
      <x:c r="E22" s="20"/>
      <x:c r="F22" s="20"/>
      <x:c r="G22" s="30"/>
      <x:c r="H22" s="28" t="str">
        <x:f>IF(C22="男",G22/28,IF(C22="女",G22/18,""))</x:f>
      </x:c>
      <x:c r="I22" s="20" t="str">
        <x:f>IF(G22="","",IF(H22&gt;=1.1,18,IF(H22&gt;=1,15,IF(H22&gt;=0.85,11,IF(H22&gt;=0.7,7,3)))))</x:f>
      </x:c>
      <x:c r="J22" s="20"/>
      <x:c r="K22" s="20"/>
      <x:c r="L22" s="20"/>
      <x:c r="M22" s="20" t="str">
        <x:f>IF(I22="","",I22+J22+K22+L22)</x:f>
      </x:c>
      <x:c r="N22" s="30"/>
      <x:c r="O22" s="20" t="str">
        <x:f>IF(N22="","",IF(N22&lt;=10,18,IF(N22&lt;=12,15,IF(N22&lt;=15,10,IF(N22&lt;=20,5,2)))))</x:f>
      </x:c>
      <x:c r="P22" s="20"/>
      <x:c r="Q22" s="20"/>
      <x:c r="R22" s="20"/>
      <x:c r="S22" s="20"/>
      <x:c r="T22" s="20" t="str">
        <x:f>IF(O22="","",O22+P22+Q22+R22+S22)</x:f>
      </x:c>
      <x:c r="U22" s="20"/>
      <x:c r="V22" s="20"/>
      <x:c r="W22" s="30"/>
      <x:c r="X22" s="20" t="str">
        <x:f>IF(W22="","",IF(W22&lt;=10,3,IF(W22&lt;=15,2,IF(W22&lt;=20,1,0))))</x:f>
      </x:c>
      <x:c r="Y22" s="20"/>
      <x:c r="Z22" s="20"/>
      <x:c r="AA22" s="20"/>
      <x:c r="AB22" s="20"/>
      <x:c r="AC22" s="20" t="str">
        <x:f>IF(U22="","",U22+V22+X22+Y22+Z22+AA22+AB22)</x:f>
      </x:c>
      <x:c r="AD22" s="28"/>
      <x:c r="AE22" s="20" t="str">
        <x:f>IF(AD22="","",IF(AD22&gt;=1,18,IF(AD22&gt;=0.8,14,IF(AD22&gt;=0.6,9,4))))</x:f>
      </x:c>
      <x:c r="AF22" s="20"/>
      <x:c r="AG22" s="20"/>
      <x:c r="AH22" s="20"/>
      <x:c r="AI22" s="20"/>
      <x:c r="AJ22" s="20"/>
      <x:c r="AK22" s="20" t="str">
        <x:f>IF(AE22="","",AE22+AF22+AG22+AH22+AI22+AJ22)</x:f>
      </x:c>
      <x:c r="AL22" s="32" t="str">
        <x:f>IF(COUNT(M22,T22,AC22,AK22)=4,M22+T22+AC22+AK22,"")</x:f>
      </x:c>
      <x:c r="AM22" s="20" t="str">
        <x:f>IF(AL22="","",IF(AN22="有","重点关注",IF(AL22&gt;=80,"整体功能较好",IF(AL22&gt;=60,"轻度关注",IF(AL22&gt;=40,"中度关注","高度关注")))))</x:f>
      </x:c>
      <x:c r="AN22" s="20" t="str">
        <x:f>IF(OR(M22&lt;=15,T22&lt;=15,AC22&lt;=15,AK22&lt;=15,AD22&lt;0.6,N22&gt;20,U22=0,E22="是",F22&lt;&gt;"合格"),"有","无")</x:f>
        <x:v>有</x:v>
      </x:c>
      <x:c r="AO22" s="20" t="str">
        <x:f>IF(AL22="","",IF(AN22="有","存在红线或单项明显短板，建议重点关注并结合CGA/医生复核。",IF(AM22="整体功能较好","整体功能较好，建议维持运动并定期复测。",IF(AM22="轻度关注","存在部分功能短板，建议针对性训练与随访。",IF(AM22="中度关注","多项能力下降，建议进一步评估肌少症、衰弱或跌倒风险。","活动能力明显下降，建议临床评估与个体化干预。")))))</x:f>
      </x:c>
    </x:row>
    <x:row r="23">
      <x:c r="A23" s="20"/>
      <x:c r="B23" s="20"/>
      <x:c r="C23" s="20"/>
      <x:c r="D23" s="20"/>
      <x:c r="E23" s="20"/>
      <x:c r="F23" s="20"/>
      <x:c r="G23" s="30"/>
      <x:c r="H23" s="28" t="str">
        <x:f>IF(C23="男",G23/28,IF(C23="女",G23/18,""))</x:f>
      </x:c>
      <x:c r="I23" s="20" t="str">
        <x:f>IF(G23="","",IF(H23&gt;=1.1,18,IF(H23&gt;=1,15,IF(H23&gt;=0.85,11,IF(H23&gt;=0.7,7,3)))))</x:f>
      </x:c>
      <x:c r="J23" s="20"/>
      <x:c r="K23" s="20"/>
      <x:c r="L23" s="20"/>
      <x:c r="M23" s="20" t="str">
        <x:f>IF(I23="","",I23+J23+K23+L23)</x:f>
      </x:c>
      <x:c r="N23" s="30"/>
      <x:c r="O23" s="20" t="str">
        <x:f>IF(N23="","",IF(N23&lt;=10,18,IF(N23&lt;=12,15,IF(N23&lt;=15,10,IF(N23&lt;=20,5,2)))))</x:f>
      </x:c>
      <x:c r="P23" s="20"/>
      <x:c r="Q23" s="20"/>
      <x:c r="R23" s="20"/>
      <x:c r="S23" s="20"/>
      <x:c r="T23" s="20" t="str">
        <x:f>IF(O23="","",O23+P23+Q23+R23+S23)</x:f>
      </x:c>
      <x:c r="U23" s="20"/>
      <x:c r="V23" s="20"/>
      <x:c r="W23" s="30"/>
      <x:c r="X23" s="20" t="str">
        <x:f>IF(W23="","",IF(W23&lt;=10,3,IF(W23&lt;=15,2,IF(W23&lt;=20,1,0))))</x:f>
      </x:c>
      <x:c r="Y23" s="20"/>
      <x:c r="Z23" s="20"/>
      <x:c r="AA23" s="20"/>
      <x:c r="AB23" s="20"/>
      <x:c r="AC23" s="20" t="str">
        <x:f>IF(U23="","",U23+V23+X23+Y23+Z23+AA23+AB23)</x:f>
      </x:c>
      <x:c r="AD23" s="28"/>
      <x:c r="AE23" s="20" t="str">
        <x:f>IF(AD23="","",IF(AD23&gt;=1,18,IF(AD23&gt;=0.8,14,IF(AD23&gt;=0.6,9,4))))</x:f>
      </x:c>
      <x:c r="AF23" s="20"/>
      <x:c r="AG23" s="20"/>
      <x:c r="AH23" s="20"/>
      <x:c r="AI23" s="20"/>
      <x:c r="AJ23" s="20"/>
      <x:c r="AK23" s="20" t="str">
        <x:f>IF(AE23="","",AE23+AF23+AG23+AH23+AI23+AJ23)</x:f>
      </x:c>
      <x:c r="AL23" s="32" t="str">
        <x:f>IF(COUNT(M23,T23,AC23,AK23)=4,M23+T23+AC23+AK23,"")</x:f>
      </x:c>
      <x:c r="AM23" s="20" t="str">
        <x:f>IF(AL23="","",IF(AN23="有","重点关注",IF(AL23&gt;=80,"整体功能较好",IF(AL23&gt;=60,"轻度关注",IF(AL23&gt;=40,"中度关注","高度关注")))))</x:f>
      </x:c>
      <x:c r="AN23" s="20" t="str">
        <x:f>IF(OR(M23&lt;=15,T23&lt;=15,AC23&lt;=15,AK23&lt;=15,AD23&lt;0.6,N23&gt;20,U23=0,E23="是",F23&lt;&gt;"合格"),"有","无")</x:f>
        <x:v>有</x:v>
      </x:c>
      <x:c r="AO23" s="20" t="str">
        <x:f>IF(AL23="","",IF(AN23="有","存在红线或单项明显短板，建议重点关注并结合CGA/医生复核。",IF(AM23="整体功能较好","整体功能较好，建议维持运动并定期复测。",IF(AM23="轻度关注","存在部分功能短板，建议针对性训练与随访。",IF(AM23="中度关注","多项能力下降，建议进一步评估肌少症、衰弱或跌倒风险。","活动能力明显下降，建议临床评估与个体化干预。")))))</x:f>
      </x:c>
    </x:row>
    <x:row r="24">
      <x:c r="A24" s="20"/>
      <x:c r="B24" s="20"/>
      <x:c r="C24" s="20"/>
      <x:c r="D24" s="20"/>
      <x:c r="E24" s="20"/>
      <x:c r="F24" s="20"/>
      <x:c r="G24" s="30"/>
      <x:c r="H24" s="28" t="str">
        <x:f>IF(C24="男",G24/28,IF(C24="女",G24/18,""))</x:f>
      </x:c>
      <x:c r="I24" s="20" t="str">
        <x:f>IF(G24="","",IF(H24&gt;=1.1,18,IF(H24&gt;=1,15,IF(H24&gt;=0.85,11,IF(H24&gt;=0.7,7,3)))))</x:f>
      </x:c>
      <x:c r="J24" s="20"/>
      <x:c r="K24" s="20"/>
      <x:c r="L24" s="20"/>
      <x:c r="M24" s="20" t="str">
        <x:f>IF(I24="","",I24+J24+K24+L24)</x:f>
      </x:c>
      <x:c r="N24" s="30"/>
      <x:c r="O24" s="20" t="str">
        <x:f>IF(N24="","",IF(N24&lt;=10,18,IF(N24&lt;=12,15,IF(N24&lt;=15,10,IF(N24&lt;=20,5,2)))))</x:f>
      </x:c>
      <x:c r="P24" s="20"/>
      <x:c r="Q24" s="20"/>
      <x:c r="R24" s="20"/>
      <x:c r="S24" s="20"/>
      <x:c r="T24" s="20" t="str">
        <x:f>IF(O24="","",O24+P24+Q24+R24+S24)</x:f>
      </x:c>
      <x:c r="U24" s="20"/>
      <x:c r="V24" s="20"/>
      <x:c r="W24" s="30"/>
      <x:c r="X24" s="20" t="str">
        <x:f>IF(W24="","",IF(W24&lt;=10,3,IF(W24&lt;=15,2,IF(W24&lt;=20,1,0))))</x:f>
      </x:c>
      <x:c r="Y24" s="20"/>
      <x:c r="Z24" s="20"/>
      <x:c r="AA24" s="20"/>
      <x:c r="AB24" s="20"/>
      <x:c r="AC24" s="20" t="str">
        <x:f>IF(U24="","",U24+V24+X24+Y24+Z24+AA24+AB24)</x:f>
      </x:c>
      <x:c r="AD24" s="28"/>
      <x:c r="AE24" s="20" t="str">
        <x:f>IF(AD24="","",IF(AD24&gt;=1,18,IF(AD24&gt;=0.8,14,IF(AD24&gt;=0.6,9,4))))</x:f>
      </x:c>
      <x:c r="AF24" s="20"/>
      <x:c r="AG24" s="20"/>
      <x:c r="AH24" s="20"/>
      <x:c r="AI24" s="20"/>
      <x:c r="AJ24" s="20"/>
      <x:c r="AK24" s="20" t="str">
        <x:f>IF(AE24="","",AE24+AF24+AG24+AH24+AI24+AJ24)</x:f>
      </x:c>
      <x:c r="AL24" s="32" t="str">
        <x:f>IF(COUNT(M24,T24,AC24,AK24)=4,M24+T24+AC24+AK24,"")</x:f>
      </x:c>
      <x:c r="AM24" s="20" t="str">
        <x:f>IF(AL24="","",IF(AN24="有","重点关注",IF(AL24&gt;=80,"整体功能较好",IF(AL24&gt;=60,"轻度关注",IF(AL24&gt;=40,"中度关注","高度关注")))))</x:f>
      </x:c>
      <x:c r="AN24" s="20" t="str">
        <x:f>IF(OR(M24&lt;=15,T24&lt;=15,AC24&lt;=15,AK24&lt;=15,AD24&lt;0.6,N24&gt;20,U24=0,E24="是",F24&lt;&gt;"合格"),"有","无")</x:f>
        <x:v>有</x:v>
      </x:c>
      <x:c r="AO24" s="20" t="str">
        <x:f>IF(AL24="","",IF(AN24="有","存在红线或单项明显短板，建议重点关注并结合CGA/医生复核。",IF(AM24="整体功能较好","整体功能较好，建议维持运动并定期复测。",IF(AM24="轻度关注","存在部分功能短板，建议针对性训练与随访。",IF(AM24="中度关注","多项能力下降，建议进一步评估肌少症、衰弱或跌倒风险。","活动能力明显下降，建议临床评估与个体化干预。")))))</x:f>
      </x:c>
    </x:row>
    <x:row r="25">
      <x:c r="A25" s="20"/>
      <x:c r="B25" s="20"/>
      <x:c r="C25" s="20"/>
      <x:c r="D25" s="20"/>
      <x:c r="E25" s="20"/>
      <x:c r="F25" s="20"/>
      <x:c r="G25" s="30"/>
      <x:c r="H25" s="28" t="str">
        <x:f>IF(C25="男",G25/28,IF(C25="女",G25/18,""))</x:f>
      </x:c>
      <x:c r="I25" s="20" t="str">
        <x:f>IF(G25="","",IF(H25&gt;=1.1,18,IF(H25&gt;=1,15,IF(H25&gt;=0.85,11,IF(H25&gt;=0.7,7,3)))))</x:f>
      </x:c>
      <x:c r="J25" s="20"/>
      <x:c r="K25" s="20"/>
      <x:c r="L25" s="20"/>
      <x:c r="M25" s="20" t="str">
        <x:f>IF(I25="","",I25+J25+K25+L25)</x:f>
      </x:c>
      <x:c r="N25" s="30"/>
      <x:c r="O25" s="20" t="str">
        <x:f>IF(N25="","",IF(N25&lt;=10,18,IF(N25&lt;=12,15,IF(N25&lt;=15,10,IF(N25&lt;=20,5,2)))))</x:f>
      </x:c>
      <x:c r="P25" s="20"/>
      <x:c r="Q25" s="20"/>
      <x:c r="R25" s="20"/>
      <x:c r="S25" s="20"/>
      <x:c r="T25" s="20" t="str">
        <x:f>IF(O25="","",O25+P25+Q25+R25+S25)</x:f>
      </x:c>
      <x:c r="U25" s="20"/>
      <x:c r="V25" s="20"/>
      <x:c r="W25" s="30"/>
      <x:c r="X25" s="20" t="str">
        <x:f>IF(W25="","",IF(W25&lt;=10,3,IF(W25&lt;=15,2,IF(W25&lt;=20,1,0))))</x:f>
      </x:c>
      <x:c r="Y25" s="20"/>
      <x:c r="Z25" s="20"/>
      <x:c r="AA25" s="20"/>
      <x:c r="AB25" s="20"/>
      <x:c r="AC25" s="20" t="str">
        <x:f>IF(U25="","",U25+V25+X25+Y25+Z25+AA25+AB25)</x:f>
      </x:c>
      <x:c r="AD25" s="28"/>
      <x:c r="AE25" s="20" t="str">
        <x:f>IF(AD25="","",IF(AD25&gt;=1,18,IF(AD25&gt;=0.8,14,IF(AD25&gt;=0.6,9,4))))</x:f>
      </x:c>
      <x:c r="AF25" s="20"/>
      <x:c r="AG25" s="20"/>
      <x:c r="AH25" s="20"/>
      <x:c r="AI25" s="20"/>
      <x:c r="AJ25" s="20"/>
      <x:c r="AK25" s="20" t="str">
        <x:f>IF(AE25="","",AE25+AF25+AG25+AH25+AI25+AJ25)</x:f>
      </x:c>
      <x:c r="AL25" s="32" t="str">
        <x:f>IF(COUNT(M25,T25,AC25,AK25)=4,M25+T25+AC25+AK25,"")</x:f>
      </x:c>
      <x:c r="AM25" s="20" t="str">
        <x:f>IF(AL25="","",IF(AN25="有","重点关注",IF(AL25&gt;=80,"整体功能较好",IF(AL25&gt;=60,"轻度关注",IF(AL25&gt;=40,"中度关注","高度关注")))))</x:f>
      </x:c>
      <x:c r="AN25" s="20" t="str">
        <x:f>IF(OR(M25&lt;=15,T25&lt;=15,AC25&lt;=15,AK25&lt;=15,AD25&lt;0.6,N25&gt;20,U25=0,E25="是",F25&lt;&gt;"合格"),"有","无")</x:f>
        <x:v>有</x:v>
      </x:c>
      <x:c r="AO25" s="20" t="str">
        <x:f>IF(AL25="","",IF(AN25="有","存在红线或单项明显短板，建议重点关注并结合CGA/医生复核。",IF(AM25="整体功能较好","整体功能较好，建议维持运动并定期复测。",IF(AM25="轻度关注","存在部分功能短板，建议针对性训练与随访。",IF(AM25="中度关注","多项能力下降，建议进一步评估肌少症、衰弱或跌倒风险。","活动能力明显下降，建议临床评估与个体化干预。")))))</x:f>
      </x:c>
    </x:row>
    <x:row r="26">
      <x:c r="A26" s="20"/>
      <x:c r="B26" s="20"/>
      <x:c r="C26" s="20"/>
      <x:c r="D26" s="20"/>
      <x:c r="E26" s="20"/>
      <x:c r="F26" s="20"/>
      <x:c r="G26" s="30"/>
      <x:c r="H26" s="28" t="str">
        <x:f>IF(C26="男",G26/28,IF(C26="女",G26/18,""))</x:f>
      </x:c>
      <x:c r="I26" s="20" t="str">
        <x:f>IF(G26="","",IF(H26&gt;=1.1,18,IF(H26&gt;=1,15,IF(H26&gt;=0.85,11,IF(H26&gt;=0.7,7,3)))))</x:f>
      </x:c>
      <x:c r="J26" s="20"/>
      <x:c r="K26" s="20"/>
      <x:c r="L26" s="20"/>
      <x:c r="M26" s="20" t="str">
        <x:f>IF(I26="","",I26+J26+K26+L26)</x:f>
      </x:c>
      <x:c r="N26" s="30"/>
      <x:c r="O26" s="20" t="str">
        <x:f>IF(N26="","",IF(N26&lt;=10,18,IF(N26&lt;=12,15,IF(N26&lt;=15,10,IF(N26&lt;=20,5,2)))))</x:f>
      </x:c>
      <x:c r="P26" s="20"/>
      <x:c r="Q26" s="20"/>
      <x:c r="R26" s="20"/>
      <x:c r="S26" s="20"/>
      <x:c r="T26" s="20" t="str">
        <x:f>IF(O26="","",O26+P26+Q26+R26+S26)</x:f>
      </x:c>
      <x:c r="U26" s="20"/>
      <x:c r="V26" s="20"/>
      <x:c r="W26" s="30"/>
      <x:c r="X26" s="20" t="str">
        <x:f>IF(W26="","",IF(W26&lt;=10,3,IF(W26&lt;=15,2,IF(W26&lt;=20,1,0))))</x:f>
      </x:c>
      <x:c r="Y26" s="20"/>
      <x:c r="Z26" s="20"/>
      <x:c r="AA26" s="20"/>
      <x:c r="AB26" s="20"/>
      <x:c r="AC26" s="20" t="str">
        <x:f>IF(U26="","",U26+V26+X26+Y26+Z26+AA26+AB26)</x:f>
      </x:c>
      <x:c r="AD26" s="28"/>
      <x:c r="AE26" s="20" t="str">
        <x:f>IF(AD26="","",IF(AD26&gt;=1,18,IF(AD26&gt;=0.8,14,IF(AD26&gt;=0.6,9,4))))</x:f>
      </x:c>
      <x:c r="AF26" s="20"/>
      <x:c r="AG26" s="20"/>
      <x:c r="AH26" s="20"/>
      <x:c r="AI26" s="20"/>
      <x:c r="AJ26" s="20"/>
      <x:c r="AK26" s="20" t="str">
        <x:f>IF(AE26="","",AE26+AF26+AG26+AH26+AI26+AJ26)</x:f>
      </x:c>
      <x:c r="AL26" s="32" t="str">
        <x:f>IF(COUNT(M26,T26,AC26,AK26)=4,M26+T26+AC26+AK26,"")</x:f>
      </x:c>
      <x:c r="AM26" s="20" t="str">
        <x:f>IF(AL26="","",IF(AN26="有","重点关注",IF(AL26&gt;=80,"整体功能较好",IF(AL26&gt;=60,"轻度关注",IF(AL26&gt;=40,"中度关注","高度关注")))))</x:f>
      </x:c>
      <x:c r="AN26" s="20" t="str">
        <x:f>IF(OR(M26&lt;=15,T26&lt;=15,AC26&lt;=15,AK26&lt;=15,AD26&lt;0.6,N26&gt;20,U26=0,E26="是",F26&lt;&gt;"合格"),"有","无")</x:f>
        <x:v>有</x:v>
      </x:c>
      <x:c r="AO26" s="20" t="str">
        <x:f>IF(AL26="","",IF(AN26="有","存在红线或单项明显短板，建议重点关注并结合CGA/医生复核。",IF(AM26="整体功能较好","整体功能较好，建议维持运动并定期复测。",IF(AM26="轻度关注","存在部分功能短板，建议针对性训练与随访。",IF(AM26="中度关注","多项能力下降，建议进一步评估肌少症、衰弱或跌倒风险。","活动能力明显下降，建议临床评估与个体化干预。")))))</x:f>
      </x:c>
    </x:row>
    <x:row r="27">
      <x:c r="A27" s="20"/>
      <x:c r="B27" s="20"/>
      <x:c r="C27" s="20"/>
      <x:c r="D27" s="20"/>
      <x:c r="E27" s="20"/>
      <x:c r="F27" s="20"/>
      <x:c r="G27" s="30"/>
      <x:c r="H27" s="28" t="str">
        <x:f>IF(C27="男",G27/28,IF(C27="女",G27/18,""))</x:f>
      </x:c>
      <x:c r="I27" s="20" t="str">
        <x:f>IF(G27="","",IF(H27&gt;=1.1,18,IF(H27&gt;=1,15,IF(H27&gt;=0.85,11,IF(H27&gt;=0.7,7,3)))))</x:f>
      </x:c>
      <x:c r="J27" s="20"/>
      <x:c r="K27" s="20"/>
      <x:c r="L27" s="20"/>
      <x:c r="M27" s="20" t="str">
        <x:f>IF(I27="","",I27+J27+K27+L27)</x:f>
      </x:c>
      <x:c r="N27" s="30"/>
      <x:c r="O27" s="20" t="str">
        <x:f>IF(N27="","",IF(N27&lt;=10,18,IF(N27&lt;=12,15,IF(N27&lt;=15,10,IF(N27&lt;=20,5,2)))))</x:f>
      </x:c>
      <x:c r="P27" s="20"/>
      <x:c r="Q27" s="20"/>
      <x:c r="R27" s="20"/>
      <x:c r="S27" s="20"/>
      <x:c r="T27" s="20" t="str">
        <x:f>IF(O27="","",O27+P27+Q27+R27+S27)</x:f>
      </x:c>
      <x:c r="U27" s="20"/>
      <x:c r="V27" s="20"/>
      <x:c r="W27" s="30"/>
      <x:c r="X27" s="20" t="str">
        <x:f>IF(W27="","",IF(W27&lt;=10,3,IF(W27&lt;=15,2,IF(W27&lt;=20,1,0))))</x:f>
      </x:c>
      <x:c r="Y27" s="20"/>
      <x:c r="Z27" s="20"/>
      <x:c r="AA27" s="20"/>
      <x:c r="AB27" s="20"/>
      <x:c r="AC27" s="20" t="str">
        <x:f>IF(U27="","",U27+V27+X27+Y27+Z27+AA27+AB27)</x:f>
      </x:c>
      <x:c r="AD27" s="28"/>
      <x:c r="AE27" s="20" t="str">
        <x:f>IF(AD27="","",IF(AD27&gt;=1,18,IF(AD27&gt;=0.8,14,IF(AD27&gt;=0.6,9,4))))</x:f>
      </x:c>
      <x:c r="AF27" s="20"/>
      <x:c r="AG27" s="20"/>
      <x:c r="AH27" s="20"/>
      <x:c r="AI27" s="20"/>
      <x:c r="AJ27" s="20"/>
      <x:c r="AK27" s="20" t="str">
        <x:f>IF(AE27="","",AE27+AF27+AG27+AH27+AI27+AJ27)</x:f>
      </x:c>
      <x:c r="AL27" s="32" t="str">
        <x:f>IF(COUNT(M27,T27,AC27,AK27)=4,M27+T27+AC27+AK27,"")</x:f>
      </x:c>
      <x:c r="AM27" s="20" t="str">
        <x:f>IF(AL27="","",IF(AN27="有","重点关注",IF(AL27&gt;=80,"整体功能较好",IF(AL27&gt;=60,"轻度关注",IF(AL27&gt;=40,"中度关注","高度关注")))))</x:f>
      </x:c>
      <x:c r="AN27" s="20" t="str">
        <x:f>IF(OR(M27&lt;=15,T27&lt;=15,AC27&lt;=15,AK27&lt;=15,AD27&lt;0.6,N27&gt;20,U27=0,E27="是",F27&lt;&gt;"合格"),"有","无")</x:f>
        <x:v>有</x:v>
      </x:c>
      <x:c r="AO27" s="20" t="str">
        <x:f>IF(AL27="","",IF(AN27="有","存在红线或单项明显短板，建议重点关注并结合CGA/医生复核。",IF(AM27="整体功能较好","整体功能较好，建议维持运动并定期复测。",IF(AM27="轻度关注","存在部分功能短板，建议针对性训练与随访。",IF(AM27="中度关注","多项能力下降，建议进一步评估肌少症、衰弱或跌倒风险。","活动能力明显下降，建议临床评估与个体化干预。")))))</x:f>
      </x:c>
    </x:row>
    <x:row r="28">
      <x:c r="A28" s="20"/>
      <x:c r="B28" s="20"/>
      <x:c r="C28" s="20"/>
      <x:c r="D28" s="20"/>
      <x:c r="E28" s="20"/>
      <x:c r="F28" s="20"/>
      <x:c r="G28" s="30"/>
      <x:c r="H28" s="28" t="str">
        <x:f>IF(C28="男",G28/28,IF(C28="女",G28/18,""))</x:f>
      </x:c>
      <x:c r="I28" s="20" t="str">
        <x:f>IF(G28="","",IF(H28&gt;=1.1,18,IF(H28&gt;=1,15,IF(H28&gt;=0.85,11,IF(H28&gt;=0.7,7,3)))))</x:f>
      </x:c>
      <x:c r="J28" s="20"/>
      <x:c r="K28" s="20"/>
      <x:c r="L28" s="20"/>
      <x:c r="M28" s="20" t="str">
        <x:f>IF(I28="","",I28+J28+K28+L28)</x:f>
      </x:c>
      <x:c r="N28" s="30"/>
      <x:c r="O28" s="20" t="str">
        <x:f>IF(N28="","",IF(N28&lt;=10,18,IF(N28&lt;=12,15,IF(N28&lt;=15,10,IF(N28&lt;=20,5,2)))))</x:f>
      </x:c>
      <x:c r="P28" s="20"/>
      <x:c r="Q28" s="20"/>
      <x:c r="R28" s="20"/>
      <x:c r="S28" s="20"/>
      <x:c r="T28" s="20" t="str">
        <x:f>IF(O28="","",O28+P28+Q28+R28+S28)</x:f>
      </x:c>
      <x:c r="U28" s="20"/>
      <x:c r="V28" s="20"/>
      <x:c r="W28" s="30"/>
      <x:c r="X28" s="20" t="str">
        <x:f>IF(W28="","",IF(W28&lt;=10,3,IF(W28&lt;=15,2,IF(W28&lt;=20,1,0))))</x:f>
      </x:c>
      <x:c r="Y28" s="20"/>
      <x:c r="Z28" s="20"/>
      <x:c r="AA28" s="20"/>
      <x:c r="AB28" s="20"/>
      <x:c r="AC28" s="20" t="str">
        <x:f>IF(U28="","",U28+V28+X28+Y28+Z28+AA28+AB28)</x:f>
      </x:c>
      <x:c r="AD28" s="28"/>
      <x:c r="AE28" s="20" t="str">
        <x:f>IF(AD28="","",IF(AD28&gt;=1,18,IF(AD28&gt;=0.8,14,IF(AD28&gt;=0.6,9,4))))</x:f>
      </x:c>
      <x:c r="AF28" s="20"/>
      <x:c r="AG28" s="20"/>
      <x:c r="AH28" s="20"/>
      <x:c r="AI28" s="20"/>
      <x:c r="AJ28" s="20"/>
      <x:c r="AK28" s="20" t="str">
        <x:f>IF(AE28="","",AE28+AF28+AG28+AH28+AI28+AJ28)</x:f>
      </x:c>
      <x:c r="AL28" s="32" t="str">
        <x:f>IF(COUNT(M28,T28,AC28,AK28)=4,M28+T28+AC28+AK28,"")</x:f>
      </x:c>
      <x:c r="AM28" s="20" t="str">
        <x:f>IF(AL28="","",IF(AN28="有","重点关注",IF(AL28&gt;=80,"整体功能较好",IF(AL28&gt;=60,"轻度关注",IF(AL28&gt;=40,"中度关注","高度关注")))))</x:f>
      </x:c>
      <x:c r="AN28" s="20" t="str">
        <x:f>IF(OR(M28&lt;=15,T28&lt;=15,AC28&lt;=15,AK28&lt;=15,AD28&lt;0.6,N28&gt;20,U28=0,E28="是",F28&lt;&gt;"合格"),"有","无")</x:f>
        <x:v>有</x:v>
      </x:c>
      <x:c r="AO28" s="20" t="str">
        <x:f>IF(AL28="","",IF(AN28="有","存在红线或单项明显短板，建议重点关注并结合CGA/医生复核。",IF(AM28="整体功能较好","整体功能较好，建议维持运动并定期复测。",IF(AM28="轻度关注","存在部分功能短板，建议针对性训练与随访。",IF(AM28="中度关注","多项能力下降，建议进一步评估肌少症、衰弱或跌倒风险。","活动能力明显下降，建议临床评估与个体化干预。")))))</x:f>
      </x:c>
    </x:row>
    <x:row r="29">
      <x:c r="A29" s="20"/>
      <x:c r="B29" s="20"/>
      <x:c r="C29" s="20"/>
      <x:c r="D29" s="20"/>
      <x:c r="E29" s="20"/>
      <x:c r="F29" s="20"/>
      <x:c r="G29" s="30"/>
      <x:c r="H29" s="28" t="str">
        <x:f>IF(C29="男",G29/28,IF(C29="女",G29/18,""))</x:f>
      </x:c>
      <x:c r="I29" s="20" t="str">
        <x:f>IF(G29="","",IF(H29&gt;=1.1,18,IF(H29&gt;=1,15,IF(H29&gt;=0.85,11,IF(H29&gt;=0.7,7,3)))))</x:f>
      </x:c>
      <x:c r="J29" s="20"/>
      <x:c r="K29" s="20"/>
      <x:c r="L29" s="20"/>
      <x:c r="M29" s="20" t="str">
        <x:f>IF(I29="","",I29+J29+K29+L29)</x:f>
      </x:c>
      <x:c r="N29" s="30"/>
      <x:c r="O29" s="20" t="str">
        <x:f>IF(N29="","",IF(N29&lt;=10,18,IF(N29&lt;=12,15,IF(N29&lt;=15,10,IF(N29&lt;=20,5,2)))))</x:f>
      </x:c>
      <x:c r="P29" s="20"/>
      <x:c r="Q29" s="20"/>
      <x:c r="R29" s="20"/>
      <x:c r="S29" s="20"/>
      <x:c r="T29" s="20" t="str">
        <x:f>IF(O29="","",O29+P29+Q29+R29+S29)</x:f>
      </x:c>
      <x:c r="U29" s="20"/>
      <x:c r="V29" s="20"/>
      <x:c r="W29" s="30"/>
      <x:c r="X29" s="20" t="str">
        <x:f>IF(W29="","",IF(W29&lt;=10,3,IF(W29&lt;=15,2,IF(W29&lt;=20,1,0))))</x:f>
      </x:c>
      <x:c r="Y29" s="20"/>
      <x:c r="Z29" s="20"/>
      <x:c r="AA29" s="20"/>
      <x:c r="AB29" s="20"/>
      <x:c r="AC29" s="20" t="str">
        <x:f>IF(U29="","",U29+V29+X29+Y29+Z29+AA29+AB29)</x:f>
      </x:c>
      <x:c r="AD29" s="28"/>
      <x:c r="AE29" s="20" t="str">
        <x:f>IF(AD29="","",IF(AD29&gt;=1,18,IF(AD29&gt;=0.8,14,IF(AD29&gt;=0.6,9,4))))</x:f>
      </x:c>
      <x:c r="AF29" s="20"/>
      <x:c r="AG29" s="20"/>
      <x:c r="AH29" s="20"/>
      <x:c r="AI29" s="20"/>
      <x:c r="AJ29" s="20"/>
      <x:c r="AK29" s="20" t="str">
        <x:f>IF(AE29="","",AE29+AF29+AG29+AH29+AI29+AJ29)</x:f>
      </x:c>
      <x:c r="AL29" s="32" t="str">
        <x:f>IF(COUNT(M29,T29,AC29,AK29)=4,M29+T29+AC29+AK29,"")</x:f>
      </x:c>
      <x:c r="AM29" s="20" t="str">
        <x:f>IF(AL29="","",IF(AN29="有","重点关注",IF(AL29&gt;=80,"整体功能较好",IF(AL29&gt;=60,"轻度关注",IF(AL29&gt;=40,"中度关注","高度关注")))))</x:f>
      </x:c>
      <x:c r="AN29" s="20" t="str">
        <x:f>IF(OR(M29&lt;=15,T29&lt;=15,AC29&lt;=15,AK29&lt;=15,AD29&lt;0.6,N29&gt;20,U29=0,E29="是",F29&lt;&gt;"合格"),"有","无")</x:f>
        <x:v>有</x:v>
      </x:c>
      <x:c r="AO29" s="20" t="str">
        <x:f>IF(AL29="","",IF(AN29="有","存在红线或单项明显短板，建议重点关注并结合CGA/医生复核。",IF(AM29="整体功能较好","整体功能较好，建议维持运动并定期复测。",IF(AM29="轻度关注","存在部分功能短板，建议针对性训练与随访。",IF(AM29="中度关注","多项能力下降，建议进一步评估肌少症、衰弱或跌倒风险。","活动能力明显下降，建议临床评估与个体化干预。")))))</x:f>
      </x:c>
    </x:row>
    <x:row r="30">
      <x:c r="A30" s="20"/>
      <x:c r="B30" s="20"/>
      <x:c r="C30" s="20"/>
      <x:c r="D30" s="20"/>
      <x:c r="E30" s="20"/>
      <x:c r="F30" s="20"/>
      <x:c r="G30" s="30"/>
      <x:c r="H30" s="28" t="str">
        <x:f>IF(C30="男",G30/28,IF(C30="女",G30/18,""))</x:f>
      </x:c>
      <x:c r="I30" s="20" t="str">
        <x:f>IF(G30="","",IF(H30&gt;=1.1,18,IF(H30&gt;=1,15,IF(H30&gt;=0.85,11,IF(H30&gt;=0.7,7,3)))))</x:f>
      </x:c>
      <x:c r="J30" s="20"/>
      <x:c r="K30" s="20"/>
      <x:c r="L30" s="20"/>
      <x:c r="M30" s="20" t="str">
        <x:f>IF(I30="","",I30+J30+K30+L30)</x:f>
      </x:c>
      <x:c r="N30" s="30"/>
      <x:c r="O30" s="20" t="str">
        <x:f>IF(N30="","",IF(N30&lt;=10,18,IF(N30&lt;=12,15,IF(N30&lt;=15,10,IF(N30&lt;=20,5,2)))))</x:f>
      </x:c>
      <x:c r="P30" s="20"/>
      <x:c r="Q30" s="20"/>
      <x:c r="R30" s="20"/>
      <x:c r="S30" s="20"/>
      <x:c r="T30" s="20" t="str">
        <x:f>IF(O30="","",O30+P30+Q30+R30+S30)</x:f>
      </x:c>
      <x:c r="U30" s="20"/>
      <x:c r="V30" s="20"/>
      <x:c r="W30" s="30"/>
      <x:c r="X30" s="20" t="str">
        <x:f>IF(W30="","",IF(W30&lt;=10,3,IF(W30&lt;=15,2,IF(W30&lt;=20,1,0))))</x:f>
      </x:c>
      <x:c r="Y30" s="20"/>
      <x:c r="Z30" s="20"/>
      <x:c r="AA30" s="20"/>
      <x:c r="AB30" s="20"/>
      <x:c r="AC30" s="20" t="str">
        <x:f>IF(U30="","",U30+V30+X30+Y30+Z30+AA30+AB30)</x:f>
      </x:c>
      <x:c r="AD30" s="28"/>
      <x:c r="AE30" s="20" t="str">
        <x:f>IF(AD30="","",IF(AD30&gt;=1,18,IF(AD30&gt;=0.8,14,IF(AD30&gt;=0.6,9,4))))</x:f>
      </x:c>
      <x:c r="AF30" s="20"/>
      <x:c r="AG30" s="20"/>
      <x:c r="AH30" s="20"/>
      <x:c r="AI30" s="20"/>
      <x:c r="AJ30" s="20"/>
      <x:c r="AK30" s="20" t="str">
        <x:f>IF(AE30="","",AE30+AF30+AG30+AH30+AI30+AJ30)</x:f>
      </x:c>
      <x:c r="AL30" s="32" t="str">
        <x:f>IF(COUNT(M30,T30,AC30,AK30)=4,M30+T30+AC30+AK30,"")</x:f>
      </x:c>
      <x:c r="AM30" s="20" t="str">
        <x:f>IF(AL30="","",IF(AN30="有","重点关注",IF(AL30&gt;=80,"整体功能较好",IF(AL30&gt;=60,"轻度关注",IF(AL30&gt;=40,"中度关注","高度关注")))))</x:f>
      </x:c>
      <x:c r="AN30" s="20" t="str">
        <x:f>IF(OR(M30&lt;=15,T30&lt;=15,AC30&lt;=15,AK30&lt;=15,AD30&lt;0.6,N30&gt;20,U30=0,E30="是",F30&lt;&gt;"合格"),"有","无")</x:f>
        <x:v>有</x:v>
      </x:c>
      <x:c r="AO30" s="20" t="str">
        <x:f>IF(AL30="","",IF(AN30="有","存在红线或单项明显短板，建议重点关注并结合CGA/医生复核。",IF(AM30="整体功能较好","整体功能较好，建议维持运动并定期复测。",IF(AM30="轻度关注","存在部分功能短板，建议针对性训练与随访。",IF(AM30="中度关注","多项能力下降，建议进一步评估肌少症、衰弱或跌倒风险。","活动能力明显下降，建议临床评估与个体化干预。")))))</x:f>
      </x:c>
    </x:row>
    <x:row r="31">
      <x:c r="A31" s="20"/>
      <x:c r="B31" s="20"/>
      <x:c r="C31" s="20"/>
      <x:c r="D31" s="20"/>
      <x:c r="E31" s="20"/>
      <x:c r="F31" s="20"/>
      <x:c r="G31" s="30"/>
      <x:c r="H31" s="28" t="str">
        <x:f>IF(C31="男",G31/28,IF(C31="女",G31/18,""))</x:f>
      </x:c>
      <x:c r="I31" s="20" t="str">
        <x:f>IF(G31="","",IF(H31&gt;=1.1,18,IF(H31&gt;=1,15,IF(H31&gt;=0.85,11,IF(H31&gt;=0.7,7,3)))))</x:f>
      </x:c>
      <x:c r="J31" s="20"/>
      <x:c r="K31" s="20"/>
      <x:c r="L31" s="20"/>
      <x:c r="M31" s="20" t="str">
        <x:f>IF(I31="","",I31+J31+K31+L31)</x:f>
      </x:c>
      <x:c r="N31" s="30"/>
      <x:c r="O31" s="20" t="str">
        <x:f>IF(N31="","",IF(N31&lt;=10,18,IF(N31&lt;=12,15,IF(N31&lt;=15,10,IF(N31&lt;=20,5,2)))))</x:f>
      </x:c>
      <x:c r="P31" s="20"/>
      <x:c r="Q31" s="20"/>
      <x:c r="R31" s="20"/>
      <x:c r="S31" s="20"/>
      <x:c r="T31" s="20" t="str">
        <x:f>IF(O31="","",O31+P31+Q31+R31+S31)</x:f>
      </x:c>
      <x:c r="U31" s="20"/>
      <x:c r="V31" s="20"/>
      <x:c r="W31" s="30"/>
      <x:c r="X31" s="20" t="str">
        <x:f>IF(W31="","",IF(W31&lt;=10,3,IF(W31&lt;=15,2,IF(W31&lt;=20,1,0))))</x:f>
      </x:c>
      <x:c r="Y31" s="20"/>
      <x:c r="Z31" s="20"/>
      <x:c r="AA31" s="20"/>
      <x:c r="AB31" s="20"/>
      <x:c r="AC31" s="20" t="str">
        <x:f>IF(U31="","",U31+V31+X31+Y31+Z31+AA31+AB31)</x:f>
      </x:c>
      <x:c r="AD31" s="28"/>
      <x:c r="AE31" s="20" t="str">
        <x:f>IF(AD31="","",IF(AD31&gt;=1,18,IF(AD31&gt;=0.8,14,IF(AD31&gt;=0.6,9,4))))</x:f>
      </x:c>
      <x:c r="AF31" s="20"/>
      <x:c r="AG31" s="20"/>
      <x:c r="AH31" s="20"/>
      <x:c r="AI31" s="20"/>
      <x:c r="AJ31" s="20"/>
      <x:c r="AK31" s="20" t="str">
        <x:f>IF(AE31="","",AE31+AF31+AG31+AH31+AI31+AJ31)</x:f>
      </x:c>
      <x:c r="AL31" s="32" t="str">
        <x:f>IF(COUNT(M31,T31,AC31,AK31)=4,M31+T31+AC31+AK31,"")</x:f>
      </x:c>
      <x:c r="AM31" s="20" t="str">
        <x:f>IF(AL31="","",IF(AN31="有","重点关注",IF(AL31&gt;=80,"整体功能较好",IF(AL31&gt;=60,"轻度关注",IF(AL31&gt;=40,"中度关注","高度关注")))))</x:f>
      </x:c>
      <x:c r="AN31" s="20" t="str">
        <x:f>IF(OR(M31&lt;=15,T31&lt;=15,AC31&lt;=15,AK31&lt;=15,AD31&lt;0.6,N31&gt;20,U31=0,E31="是",F31&lt;&gt;"合格"),"有","无")</x:f>
        <x:v>有</x:v>
      </x:c>
      <x:c r="AO31" s="20" t="str">
        <x:f>IF(AL31="","",IF(AN31="有","存在红线或单项明显短板，建议重点关注并结合CGA/医生复核。",IF(AM31="整体功能较好","整体功能较好，建议维持运动并定期复测。",IF(AM31="轻度关注","存在部分功能短板，建议针对性训练与随访。",IF(AM31="中度关注","多项能力下降，建议进一步评估肌少症、衰弱或跌倒风险。","活动能力明显下降，建议临床评估与个体化干预。")))))</x:f>
      </x:c>
    </x:row>
    <x:row r="32">
      <x:c r="A32" s="20"/>
      <x:c r="B32" s="20"/>
      <x:c r="C32" s="20"/>
      <x:c r="D32" s="20"/>
      <x:c r="E32" s="20"/>
      <x:c r="F32" s="20"/>
      <x:c r="G32" s="30"/>
      <x:c r="H32" s="28" t="str">
        <x:f>IF(C32="男",G32/28,IF(C32="女",G32/18,""))</x:f>
      </x:c>
      <x:c r="I32" s="20" t="str">
        <x:f>IF(G32="","",IF(H32&gt;=1.1,18,IF(H32&gt;=1,15,IF(H32&gt;=0.85,11,IF(H32&gt;=0.7,7,3)))))</x:f>
      </x:c>
      <x:c r="J32" s="20"/>
      <x:c r="K32" s="20"/>
      <x:c r="L32" s="20"/>
      <x:c r="M32" s="20" t="str">
        <x:f>IF(I32="","",I32+J32+K32+L32)</x:f>
      </x:c>
      <x:c r="N32" s="30"/>
      <x:c r="O32" s="20" t="str">
        <x:f>IF(N32="","",IF(N32&lt;=10,18,IF(N32&lt;=12,15,IF(N32&lt;=15,10,IF(N32&lt;=20,5,2)))))</x:f>
      </x:c>
      <x:c r="P32" s="20"/>
      <x:c r="Q32" s="20"/>
      <x:c r="R32" s="20"/>
      <x:c r="S32" s="20"/>
      <x:c r="T32" s="20" t="str">
        <x:f>IF(O32="","",O32+P32+Q32+R32+S32)</x:f>
      </x:c>
      <x:c r="U32" s="20"/>
      <x:c r="V32" s="20"/>
      <x:c r="W32" s="30"/>
      <x:c r="X32" s="20" t="str">
        <x:f>IF(W32="","",IF(W32&lt;=10,3,IF(W32&lt;=15,2,IF(W32&lt;=20,1,0))))</x:f>
      </x:c>
      <x:c r="Y32" s="20"/>
      <x:c r="Z32" s="20"/>
      <x:c r="AA32" s="20"/>
      <x:c r="AB32" s="20"/>
      <x:c r="AC32" s="20" t="str">
        <x:f>IF(U32="","",U32+V32+X32+Y32+Z32+AA32+AB32)</x:f>
      </x:c>
      <x:c r="AD32" s="28"/>
      <x:c r="AE32" s="20" t="str">
        <x:f>IF(AD32="","",IF(AD32&gt;=1,18,IF(AD32&gt;=0.8,14,IF(AD32&gt;=0.6,9,4))))</x:f>
      </x:c>
      <x:c r="AF32" s="20"/>
      <x:c r="AG32" s="20"/>
      <x:c r="AH32" s="20"/>
      <x:c r="AI32" s="20"/>
      <x:c r="AJ32" s="20"/>
      <x:c r="AK32" s="20" t="str">
        <x:f>IF(AE32="","",AE32+AF32+AG32+AH32+AI32+AJ32)</x:f>
      </x:c>
      <x:c r="AL32" s="32" t="str">
        <x:f>IF(COUNT(M32,T32,AC32,AK32)=4,M32+T32+AC32+AK32,"")</x:f>
      </x:c>
      <x:c r="AM32" s="20" t="str">
        <x:f>IF(AL32="","",IF(AN32="有","重点关注",IF(AL32&gt;=80,"整体功能较好",IF(AL32&gt;=60,"轻度关注",IF(AL32&gt;=40,"中度关注","高度关注")))))</x:f>
      </x:c>
      <x:c r="AN32" s="20" t="str">
        <x:f>IF(OR(M32&lt;=15,T32&lt;=15,AC32&lt;=15,AK32&lt;=15,AD32&lt;0.6,N32&gt;20,U32=0,E32="是",F32&lt;&gt;"合格"),"有","无")</x:f>
        <x:v>有</x:v>
      </x:c>
      <x:c r="AO32" s="20" t="str">
        <x:f>IF(AL32="","",IF(AN32="有","存在红线或单项明显短板，建议重点关注并结合CGA/医生复核。",IF(AM32="整体功能较好","整体功能较好，建议维持运动并定期复测。",IF(AM32="轻度关注","存在部分功能短板，建议针对性训练与随访。",IF(AM32="中度关注","多项能力下降，建议进一步评估肌少症、衰弱或跌倒风险。","活动能力明显下降，建议临床评估与个体化干预。")))))</x:f>
      </x:c>
    </x:row>
    <x:row r="33">
      <x:c r="A33" s="20"/>
      <x:c r="B33" s="20"/>
      <x:c r="C33" s="20"/>
      <x:c r="D33" s="20"/>
      <x:c r="E33" s="20"/>
      <x:c r="F33" s="20"/>
      <x:c r="G33" s="30"/>
      <x:c r="H33" s="28" t="str">
        <x:f>IF(C33="男",G33/28,IF(C33="女",G33/18,""))</x:f>
      </x:c>
      <x:c r="I33" s="20" t="str">
        <x:f>IF(G33="","",IF(H33&gt;=1.1,18,IF(H33&gt;=1,15,IF(H33&gt;=0.85,11,IF(H33&gt;=0.7,7,3)))))</x:f>
      </x:c>
      <x:c r="J33" s="20"/>
      <x:c r="K33" s="20"/>
      <x:c r="L33" s="20"/>
      <x:c r="M33" s="20" t="str">
        <x:f>IF(I33="","",I33+J33+K33+L33)</x:f>
      </x:c>
      <x:c r="N33" s="30"/>
      <x:c r="O33" s="20" t="str">
        <x:f>IF(N33="","",IF(N33&lt;=10,18,IF(N33&lt;=12,15,IF(N33&lt;=15,10,IF(N33&lt;=20,5,2)))))</x:f>
      </x:c>
      <x:c r="P33" s="20"/>
      <x:c r="Q33" s="20"/>
      <x:c r="R33" s="20"/>
      <x:c r="S33" s="20"/>
      <x:c r="T33" s="20" t="str">
        <x:f>IF(O33="","",O33+P33+Q33+R33+S33)</x:f>
      </x:c>
      <x:c r="U33" s="20"/>
      <x:c r="V33" s="20"/>
      <x:c r="W33" s="30"/>
      <x:c r="X33" s="20" t="str">
        <x:f>IF(W33="","",IF(W33&lt;=10,3,IF(W33&lt;=15,2,IF(W33&lt;=20,1,0))))</x:f>
      </x:c>
      <x:c r="Y33" s="20"/>
      <x:c r="Z33" s="20"/>
      <x:c r="AA33" s="20"/>
      <x:c r="AB33" s="20"/>
      <x:c r="AC33" s="20" t="str">
        <x:f>IF(U33="","",U33+V33+X33+Y33+Z33+AA33+AB33)</x:f>
      </x:c>
      <x:c r="AD33" s="28"/>
      <x:c r="AE33" s="20" t="str">
        <x:f>IF(AD33="","",IF(AD33&gt;=1,18,IF(AD33&gt;=0.8,14,IF(AD33&gt;=0.6,9,4))))</x:f>
      </x:c>
      <x:c r="AF33" s="20"/>
      <x:c r="AG33" s="20"/>
      <x:c r="AH33" s="20"/>
      <x:c r="AI33" s="20"/>
      <x:c r="AJ33" s="20"/>
      <x:c r="AK33" s="20" t="str">
        <x:f>IF(AE33="","",AE33+AF33+AG33+AH33+AI33+AJ33)</x:f>
      </x:c>
      <x:c r="AL33" s="32" t="str">
        <x:f>IF(COUNT(M33,T33,AC33,AK33)=4,M33+T33+AC33+AK33,"")</x:f>
      </x:c>
      <x:c r="AM33" s="20" t="str">
        <x:f>IF(AL33="","",IF(AN33="有","重点关注",IF(AL33&gt;=80,"整体功能较好",IF(AL33&gt;=60,"轻度关注",IF(AL33&gt;=40,"中度关注","高度关注")))))</x:f>
      </x:c>
      <x:c r="AN33" s="20" t="str">
        <x:f>IF(OR(M33&lt;=15,T33&lt;=15,AC33&lt;=15,AK33&lt;=15,AD33&lt;0.6,N33&gt;20,U33=0,E33="是",F33&lt;&gt;"合格"),"有","无")</x:f>
        <x:v>有</x:v>
      </x:c>
      <x:c r="AO33" s="20" t="str">
        <x:f>IF(AL33="","",IF(AN33="有","存在红线或单项明显短板，建议重点关注并结合CGA/医生复核。",IF(AM33="整体功能较好","整体功能较好，建议维持运动并定期复测。",IF(AM33="轻度关注","存在部分功能短板，建议针对性训练与随访。",IF(AM33="中度关注","多项能力下降，建议进一步评估肌少症、衰弱或跌倒风险。","活动能力明显下降，建议临床评估与个体化干预。")))))</x:f>
      </x:c>
    </x:row>
    <x:row r="34">
      <x:c r="A34" s="20"/>
      <x:c r="B34" s="20"/>
      <x:c r="C34" s="20"/>
      <x:c r="D34" s="20"/>
      <x:c r="E34" s="20"/>
      <x:c r="F34" s="20"/>
      <x:c r="G34" s="30"/>
      <x:c r="H34" s="28" t="str">
        <x:f>IF(C34="男",G34/28,IF(C34="女",G34/18,""))</x:f>
      </x:c>
      <x:c r="I34" s="20" t="str">
        <x:f>IF(G34="","",IF(H34&gt;=1.1,18,IF(H34&gt;=1,15,IF(H34&gt;=0.85,11,IF(H34&gt;=0.7,7,3)))))</x:f>
      </x:c>
      <x:c r="J34" s="20"/>
      <x:c r="K34" s="20"/>
      <x:c r="L34" s="20"/>
      <x:c r="M34" s="20" t="str">
        <x:f>IF(I34="","",I34+J34+K34+L34)</x:f>
      </x:c>
      <x:c r="N34" s="30"/>
      <x:c r="O34" s="20" t="str">
        <x:f>IF(N34="","",IF(N34&lt;=10,18,IF(N34&lt;=12,15,IF(N34&lt;=15,10,IF(N34&lt;=20,5,2)))))</x:f>
      </x:c>
      <x:c r="P34" s="20"/>
      <x:c r="Q34" s="20"/>
      <x:c r="R34" s="20"/>
      <x:c r="S34" s="20"/>
      <x:c r="T34" s="20" t="str">
        <x:f>IF(O34="","",O34+P34+Q34+R34+S34)</x:f>
      </x:c>
      <x:c r="U34" s="20"/>
      <x:c r="V34" s="20"/>
      <x:c r="W34" s="30"/>
      <x:c r="X34" s="20" t="str">
        <x:f>IF(W34="","",IF(W34&lt;=10,3,IF(W34&lt;=15,2,IF(W34&lt;=20,1,0))))</x:f>
      </x:c>
      <x:c r="Y34" s="20"/>
      <x:c r="Z34" s="20"/>
      <x:c r="AA34" s="20"/>
      <x:c r="AB34" s="20"/>
      <x:c r="AC34" s="20" t="str">
        <x:f>IF(U34="","",U34+V34+X34+Y34+Z34+AA34+AB34)</x:f>
      </x:c>
      <x:c r="AD34" s="28"/>
      <x:c r="AE34" s="20" t="str">
        <x:f>IF(AD34="","",IF(AD34&gt;=1,18,IF(AD34&gt;=0.8,14,IF(AD34&gt;=0.6,9,4))))</x:f>
      </x:c>
      <x:c r="AF34" s="20"/>
      <x:c r="AG34" s="20"/>
      <x:c r="AH34" s="20"/>
      <x:c r="AI34" s="20"/>
      <x:c r="AJ34" s="20"/>
      <x:c r="AK34" s="20" t="str">
        <x:f>IF(AE34="","",AE34+AF34+AG34+AH34+AI34+AJ34)</x:f>
      </x:c>
      <x:c r="AL34" s="32" t="str">
        <x:f>IF(COUNT(M34,T34,AC34,AK34)=4,M34+T34+AC34+AK34,"")</x:f>
      </x:c>
      <x:c r="AM34" s="20" t="str">
        <x:f>IF(AL34="","",IF(AN34="有","重点关注",IF(AL34&gt;=80,"整体功能较好",IF(AL34&gt;=60,"轻度关注",IF(AL34&gt;=40,"中度关注","高度关注")))))</x:f>
      </x:c>
      <x:c r="AN34" s="20" t="str">
        <x:f>IF(OR(M34&lt;=15,T34&lt;=15,AC34&lt;=15,AK34&lt;=15,AD34&lt;0.6,N34&gt;20,U34=0,E34="是",F34&lt;&gt;"合格"),"有","无")</x:f>
        <x:v>有</x:v>
      </x:c>
      <x:c r="AO34" s="20" t="str">
        <x:f>IF(AL34="","",IF(AN34="有","存在红线或单项明显短板，建议重点关注并结合CGA/医生复核。",IF(AM34="整体功能较好","整体功能较好，建议维持运动并定期复测。",IF(AM34="轻度关注","存在部分功能短板，建议针对性训练与随访。",IF(AM34="中度关注","多项能力下降，建议进一步评估肌少症、衰弱或跌倒风险。","活动能力明显下降，建议临床评估与个体化干预。")))))</x:f>
      </x:c>
    </x:row>
    <x:row r="35">
      <x:c r="A35" s="20"/>
      <x:c r="B35" s="20"/>
      <x:c r="C35" s="20"/>
      <x:c r="D35" s="20"/>
      <x:c r="E35" s="20"/>
      <x:c r="F35" s="20"/>
      <x:c r="G35" s="30"/>
      <x:c r="H35" s="28" t="str">
        <x:f>IF(C35="男",G35/28,IF(C35="女",G35/18,""))</x:f>
      </x:c>
      <x:c r="I35" s="20" t="str">
        <x:f>IF(G35="","",IF(H35&gt;=1.1,18,IF(H35&gt;=1,15,IF(H35&gt;=0.85,11,IF(H35&gt;=0.7,7,3)))))</x:f>
      </x:c>
      <x:c r="J35" s="20"/>
      <x:c r="K35" s="20"/>
      <x:c r="L35" s="20"/>
      <x:c r="M35" s="20" t="str">
        <x:f>IF(I35="","",I35+J35+K35+L35)</x:f>
      </x:c>
      <x:c r="N35" s="30"/>
      <x:c r="O35" s="20" t="str">
        <x:f>IF(N35="","",IF(N35&lt;=10,18,IF(N35&lt;=12,15,IF(N35&lt;=15,10,IF(N35&lt;=20,5,2)))))</x:f>
      </x:c>
      <x:c r="P35" s="20"/>
      <x:c r="Q35" s="20"/>
      <x:c r="R35" s="20"/>
      <x:c r="S35" s="20"/>
      <x:c r="T35" s="20" t="str">
        <x:f>IF(O35="","",O35+P35+Q35+R35+S35)</x:f>
      </x:c>
      <x:c r="U35" s="20"/>
      <x:c r="V35" s="20"/>
      <x:c r="W35" s="30"/>
      <x:c r="X35" s="20" t="str">
        <x:f>IF(W35="","",IF(W35&lt;=10,3,IF(W35&lt;=15,2,IF(W35&lt;=20,1,0))))</x:f>
      </x:c>
      <x:c r="Y35" s="20"/>
      <x:c r="Z35" s="20"/>
      <x:c r="AA35" s="20"/>
      <x:c r="AB35" s="20"/>
      <x:c r="AC35" s="20" t="str">
        <x:f>IF(U35="","",U35+V35+X35+Y35+Z35+AA35+AB35)</x:f>
      </x:c>
      <x:c r="AD35" s="28"/>
      <x:c r="AE35" s="20" t="str">
        <x:f>IF(AD35="","",IF(AD35&gt;=1,18,IF(AD35&gt;=0.8,14,IF(AD35&gt;=0.6,9,4))))</x:f>
      </x:c>
      <x:c r="AF35" s="20"/>
      <x:c r="AG35" s="20"/>
      <x:c r="AH35" s="20"/>
      <x:c r="AI35" s="20"/>
      <x:c r="AJ35" s="20"/>
      <x:c r="AK35" s="20" t="str">
        <x:f>IF(AE35="","",AE35+AF35+AG35+AH35+AI35+AJ35)</x:f>
      </x:c>
      <x:c r="AL35" s="32" t="str">
        <x:f>IF(COUNT(M35,T35,AC35,AK35)=4,M35+T35+AC35+AK35,"")</x:f>
      </x:c>
      <x:c r="AM35" s="20" t="str">
        <x:f>IF(AL35="","",IF(AN35="有","重点关注",IF(AL35&gt;=80,"整体功能较好",IF(AL35&gt;=60,"轻度关注",IF(AL35&gt;=40,"中度关注","高度关注")))))</x:f>
      </x:c>
      <x:c r="AN35" s="20" t="str">
        <x:f>IF(OR(M35&lt;=15,T35&lt;=15,AC35&lt;=15,AK35&lt;=15,AD35&lt;0.6,N35&gt;20,U35=0,E35="是",F35&lt;&gt;"合格"),"有","无")</x:f>
        <x:v>有</x:v>
      </x:c>
      <x:c r="AO35" s="20" t="str">
        <x:f>IF(AL35="","",IF(AN35="有","存在红线或单项明显短板，建议重点关注并结合CGA/医生复核。",IF(AM35="整体功能较好","整体功能较好，建议维持运动并定期复测。",IF(AM35="轻度关注","存在部分功能短板，建议针对性训练与随访。",IF(AM35="中度关注","多项能力下降，建议进一步评估肌少症、衰弱或跌倒风险。","活动能力明显下降，建议临床评估与个体化干预。")))))</x:f>
      </x:c>
    </x:row>
    <x:row r="36">
      <x:c r="A36" s="20"/>
      <x:c r="B36" s="20"/>
      <x:c r="C36" s="20"/>
      <x:c r="D36" s="20"/>
      <x:c r="E36" s="20"/>
      <x:c r="F36" s="20"/>
      <x:c r="G36" s="30"/>
      <x:c r="H36" s="28" t="str">
        <x:f>IF(C36="男",G36/28,IF(C36="女",G36/18,""))</x:f>
      </x:c>
      <x:c r="I36" s="20" t="str">
        <x:f>IF(G36="","",IF(H36&gt;=1.1,18,IF(H36&gt;=1,15,IF(H36&gt;=0.85,11,IF(H36&gt;=0.7,7,3)))))</x:f>
      </x:c>
      <x:c r="J36" s="20"/>
      <x:c r="K36" s="20"/>
      <x:c r="L36" s="20"/>
      <x:c r="M36" s="20" t="str">
        <x:f>IF(I36="","",I36+J36+K36+L36)</x:f>
      </x:c>
      <x:c r="N36" s="30"/>
      <x:c r="O36" s="20" t="str">
        <x:f>IF(N36="","",IF(N36&lt;=10,18,IF(N36&lt;=12,15,IF(N36&lt;=15,10,IF(N36&lt;=20,5,2)))))</x:f>
      </x:c>
      <x:c r="P36" s="20"/>
      <x:c r="Q36" s="20"/>
      <x:c r="R36" s="20"/>
      <x:c r="S36" s="20"/>
      <x:c r="T36" s="20" t="str">
        <x:f>IF(O36="","",O36+P36+Q36+R36+S36)</x:f>
      </x:c>
      <x:c r="U36" s="20"/>
      <x:c r="V36" s="20"/>
      <x:c r="W36" s="30"/>
      <x:c r="X36" s="20" t="str">
        <x:f>IF(W36="","",IF(W36&lt;=10,3,IF(W36&lt;=15,2,IF(W36&lt;=20,1,0))))</x:f>
      </x:c>
      <x:c r="Y36" s="20"/>
      <x:c r="Z36" s="20"/>
      <x:c r="AA36" s="20"/>
      <x:c r="AB36" s="20"/>
      <x:c r="AC36" s="20" t="str">
        <x:f>IF(U36="","",U36+V36+X36+Y36+Z36+AA36+AB36)</x:f>
      </x:c>
      <x:c r="AD36" s="28"/>
      <x:c r="AE36" s="20" t="str">
        <x:f>IF(AD36="","",IF(AD36&gt;=1,18,IF(AD36&gt;=0.8,14,IF(AD36&gt;=0.6,9,4))))</x:f>
      </x:c>
      <x:c r="AF36" s="20"/>
      <x:c r="AG36" s="20"/>
      <x:c r="AH36" s="20"/>
      <x:c r="AI36" s="20"/>
      <x:c r="AJ36" s="20"/>
      <x:c r="AK36" s="20" t="str">
        <x:f>IF(AE36="","",AE36+AF36+AG36+AH36+AI36+AJ36)</x:f>
      </x:c>
      <x:c r="AL36" s="32" t="str">
        <x:f>IF(COUNT(M36,T36,AC36,AK36)=4,M36+T36+AC36+AK36,"")</x:f>
      </x:c>
      <x:c r="AM36" s="20" t="str">
        <x:f>IF(AL36="","",IF(AN36="有","重点关注",IF(AL36&gt;=80,"整体功能较好",IF(AL36&gt;=60,"轻度关注",IF(AL36&gt;=40,"中度关注","高度关注")))))</x:f>
      </x:c>
      <x:c r="AN36" s="20" t="str">
        <x:f>IF(OR(M36&lt;=15,T36&lt;=15,AC36&lt;=15,AK36&lt;=15,AD36&lt;0.6,N36&gt;20,U36=0,E36="是",F36&lt;&gt;"合格"),"有","无")</x:f>
        <x:v>有</x:v>
      </x:c>
      <x:c r="AO36" s="20" t="str">
        <x:f>IF(AL36="","",IF(AN36="有","存在红线或单项明显短板，建议重点关注并结合CGA/医生复核。",IF(AM36="整体功能较好","整体功能较好，建议维持运动并定期复测。",IF(AM36="轻度关注","存在部分功能短板，建议针对性训练与随访。",IF(AM36="中度关注","多项能力下降，建议进一步评估肌少症、衰弱或跌倒风险。","活动能力明显下降，建议临床评估与个体化干预。")))))</x:f>
      </x:c>
    </x:row>
    <x:row r="37">
      <x:c r="A37" s="20"/>
      <x:c r="B37" s="20"/>
      <x:c r="C37" s="20"/>
      <x:c r="D37" s="20"/>
      <x:c r="E37" s="20"/>
      <x:c r="F37" s="20"/>
      <x:c r="G37" s="30"/>
      <x:c r="H37" s="28" t="str">
        <x:f>IF(C37="男",G37/28,IF(C37="女",G37/18,""))</x:f>
      </x:c>
      <x:c r="I37" s="20" t="str">
        <x:f>IF(G37="","",IF(H37&gt;=1.1,18,IF(H37&gt;=1,15,IF(H37&gt;=0.85,11,IF(H37&gt;=0.7,7,3)))))</x:f>
      </x:c>
      <x:c r="J37" s="20"/>
      <x:c r="K37" s="20"/>
      <x:c r="L37" s="20"/>
      <x:c r="M37" s="20" t="str">
        <x:f>IF(I37="","",I37+J37+K37+L37)</x:f>
      </x:c>
      <x:c r="N37" s="30"/>
      <x:c r="O37" s="20" t="str">
        <x:f>IF(N37="","",IF(N37&lt;=10,18,IF(N37&lt;=12,15,IF(N37&lt;=15,10,IF(N37&lt;=20,5,2)))))</x:f>
      </x:c>
      <x:c r="P37" s="20"/>
      <x:c r="Q37" s="20"/>
      <x:c r="R37" s="20"/>
      <x:c r="S37" s="20"/>
      <x:c r="T37" s="20" t="str">
        <x:f>IF(O37="","",O37+P37+Q37+R37+S37)</x:f>
      </x:c>
      <x:c r="U37" s="20"/>
      <x:c r="V37" s="20"/>
      <x:c r="W37" s="30"/>
      <x:c r="X37" s="20" t="str">
        <x:f>IF(W37="","",IF(W37&lt;=10,3,IF(W37&lt;=15,2,IF(W37&lt;=20,1,0))))</x:f>
      </x:c>
      <x:c r="Y37" s="20"/>
      <x:c r="Z37" s="20"/>
      <x:c r="AA37" s="20"/>
      <x:c r="AB37" s="20"/>
      <x:c r="AC37" s="20" t="str">
        <x:f>IF(U37="","",U37+V37+X37+Y37+Z37+AA37+AB37)</x:f>
      </x:c>
      <x:c r="AD37" s="28"/>
      <x:c r="AE37" s="20" t="str">
        <x:f>IF(AD37="","",IF(AD37&gt;=1,18,IF(AD37&gt;=0.8,14,IF(AD37&gt;=0.6,9,4))))</x:f>
      </x:c>
      <x:c r="AF37" s="20"/>
      <x:c r="AG37" s="20"/>
      <x:c r="AH37" s="20"/>
      <x:c r="AI37" s="20"/>
      <x:c r="AJ37" s="20"/>
      <x:c r="AK37" s="20" t="str">
        <x:f>IF(AE37="","",AE37+AF37+AG37+AH37+AI37+AJ37)</x:f>
      </x:c>
      <x:c r="AL37" s="32" t="str">
        <x:f>IF(COUNT(M37,T37,AC37,AK37)=4,M37+T37+AC37+AK37,"")</x:f>
      </x:c>
      <x:c r="AM37" s="20" t="str">
        <x:f>IF(AL37="","",IF(AN37="有","重点关注",IF(AL37&gt;=80,"整体功能较好",IF(AL37&gt;=60,"轻度关注",IF(AL37&gt;=40,"中度关注","高度关注")))))</x:f>
      </x:c>
      <x:c r="AN37" s="20" t="str">
        <x:f>IF(OR(M37&lt;=15,T37&lt;=15,AC37&lt;=15,AK37&lt;=15,AD37&lt;0.6,N37&gt;20,U37=0,E37="是",F37&lt;&gt;"合格"),"有","无")</x:f>
        <x:v>有</x:v>
      </x:c>
      <x:c r="AO37" s="20" t="str">
        <x:f>IF(AL37="","",IF(AN37="有","存在红线或单项明显短板，建议重点关注并结合CGA/医生复核。",IF(AM37="整体功能较好","整体功能较好，建议维持运动并定期复测。",IF(AM37="轻度关注","存在部分功能短板，建议针对性训练与随访。",IF(AM37="中度关注","多项能力下降，建议进一步评估肌少症、衰弱或跌倒风险。","活动能力明显下降，建议临床评估与个体化干预。")))))</x:f>
      </x:c>
    </x:row>
    <x:row r="38">
      <x:c r="A38" s="20"/>
      <x:c r="B38" s="20"/>
      <x:c r="C38" s="20"/>
      <x:c r="D38" s="20"/>
      <x:c r="E38" s="20"/>
      <x:c r="F38" s="20"/>
      <x:c r="G38" s="30"/>
      <x:c r="H38" s="28" t="str">
        <x:f>IF(C38="男",G38/28,IF(C38="女",G38/18,""))</x:f>
      </x:c>
      <x:c r="I38" s="20" t="str">
        <x:f>IF(G38="","",IF(H38&gt;=1.1,18,IF(H38&gt;=1,15,IF(H38&gt;=0.85,11,IF(H38&gt;=0.7,7,3)))))</x:f>
      </x:c>
      <x:c r="J38" s="20"/>
      <x:c r="K38" s="20"/>
      <x:c r="L38" s="20"/>
      <x:c r="M38" s="20" t="str">
        <x:f>IF(I38="","",I38+J38+K38+L38)</x:f>
      </x:c>
      <x:c r="N38" s="30"/>
      <x:c r="O38" s="20" t="str">
        <x:f>IF(N38="","",IF(N38&lt;=10,18,IF(N38&lt;=12,15,IF(N38&lt;=15,10,IF(N38&lt;=20,5,2)))))</x:f>
      </x:c>
      <x:c r="P38" s="20"/>
      <x:c r="Q38" s="20"/>
      <x:c r="R38" s="20"/>
      <x:c r="S38" s="20"/>
      <x:c r="T38" s="20" t="str">
        <x:f>IF(O38="","",O38+P38+Q38+R38+S38)</x:f>
      </x:c>
      <x:c r="U38" s="20"/>
      <x:c r="V38" s="20"/>
      <x:c r="W38" s="30"/>
      <x:c r="X38" s="20" t="str">
        <x:f>IF(W38="","",IF(W38&lt;=10,3,IF(W38&lt;=15,2,IF(W38&lt;=20,1,0))))</x:f>
      </x:c>
      <x:c r="Y38" s="20"/>
      <x:c r="Z38" s="20"/>
      <x:c r="AA38" s="20"/>
      <x:c r="AB38" s="20"/>
      <x:c r="AC38" s="20" t="str">
        <x:f>IF(U38="","",U38+V38+X38+Y38+Z38+AA38+AB38)</x:f>
      </x:c>
      <x:c r="AD38" s="28"/>
      <x:c r="AE38" s="20" t="str">
        <x:f>IF(AD38="","",IF(AD38&gt;=1,18,IF(AD38&gt;=0.8,14,IF(AD38&gt;=0.6,9,4))))</x:f>
      </x:c>
      <x:c r="AF38" s="20"/>
      <x:c r="AG38" s="20"/>
      <x:c r="AH38" s="20"/>
      <x:c r="AI38" s="20"/>
      <x:c r="AJ38" s="20"/>
      <x:c r="AK38" s="20" t="str">
        <x:f>IF(AE38="","",AE38+AF38+AG38+AH38+AI38+AJ38)</x:f>
      </x:c>
      <x:c r="AL38" s="32" t="str">
        <x:f>IF(COUNT(M38,T38,AC38,AK38)=4,M38+T38+AC38+AK38,"")</x:f>
      </x:c>
      <x:c r="AM38" s="20" t="str">
        <x:f>IF(AL38="","",IF(AN38="有","重点关注",IF(AL38&gt;=80,"整体功能较好",IF(AL38&gt;=60,"轻度关注",IF(AL38&gt;=40,"中度关注","高度关注")))))</x:f>
      </x:c>
      <x:c r="AN38" s="20" t="str">
        <x:f>IF(OR(M38&lt;=15,T38&lt;=15,AC38&lt;=15,AK38&lt;=15,AD38&lt;0.6,N38&gt;20,U38=0,E38="是",F38&lt;&gt;"合格"),"有","无")</x:f>
        <x:v>有</x:v>
      </x:c>
      <x:c r="AO38" s="20" t="str">
        <x:f>IF(AL38="","",IF(AN38="有","存在红线或单项明显短板，建议重点关注并结合CGA/医生复核。",IF(AM38="整体功能较好","整体功能较好，建议维持运动并定期复测。",IF(AM38="轻度关注","存在部分功能短板，建议针对性训练与随访。",IF(AM38="中度关注","多项能力下降，建议进一步评估肌少症、衰弱或跌倒风险。","活动能力明显下降，建议临床评估与个体化干预。")))))</x:f>
      </x:c>
    </x:row>
    <x:row r="39">
      <x:c r="A39" s="20"/>
      <x:c r="B39" s="20"/>
      <x:c r="C39" s="20"/>
      <x:c r="D39" s="20"/>
      <x:c r="E39" s="20"/>
      <x:c r="F39" s="20"/>
      <x:c r="G39" s="30"/>
      <x:c r="H39" s="28" t="str">
        <x:f>IF(C39="男",G39/28,IF(C39="女",G39/18,""))</x:f>
      </x:c>
      <x:c r="I39" s="20" t="str">
        <x:f>IF(G39="","",IF(H39&gt;=1.1,18,IF(H39&gt;=1,15,IF(H39&gt;=0.85,11,IF(H39&gt;=0.7,7,3)))))</x:f>
      </x:c>
      <x:c r="J39" s="20"/>
      <x:c r="K39" s="20"/>
      <x:c r="L39" s="20"/>
      <x:c r="M39" s="20" t="str">
        <x:f>IF(I39="","",I39+J39+K39+L39)</x:f>
      </x:c>
      <x:c r="N39" s="30"/>
      <x:c r="O39" s="20" t="str">
        <x:f>IF(N39="","",IF(N39&lt;=10,18,IF(N39&lt;=12,15,IF(N39&lt;=15,10,IF(N39&lt;=20,5,2)))))</x:f>
      </x:c>
      <x:c r="P39" s="20"/>
      <x:c r="Q39" s="20"/>
      <x:c r="R39" s="20"/>
      <x:c r="S39" s="20"/>
      <x:c r="T39" s="20" t="str">
        <x:f>IF(O39="","",O39+P39+Q39+R39+S39)</x:f>
      </x:c>
      <x:c r="U39" s="20"/>
      <x:c r="V39" s="20"/>
      <x:c r="W39" s="30"/>
      <x:c r="X39" s="20" t="str">
        <x:f>IF(W39="","",IF(W39&lt;=10,3,IF(W39&lt;=15,2,IF(W39&lt;=20,1,0))))</x:f>
      </x:c>
      <x:c r="Y39" s="20"/>
      <x:c r="Z39" s="20"/>
      <x:c r="AA39" s="20"/>
      <x:c r="AB39" s="20"/>
      <x:c r="AC39" s="20" t="str">
        <x:f>IF(U39="","",U39+V39+X39+Y39+Z39+AA39+AB39)</x:f>
      </x:c>
      <x:c r="AD39" s="28"/>
      <x:c r="AE39" s="20" t="str">
        <x:f>IF(AD39="","",IF(AD39&gt;=1,18,IF(AD39&gt;=0.8,14,IF(AD39&gt;=0.6,9,4))))</x:f>
      </x:c>
      <x:c r="AF39" s="20"/>
      <x:c r="AG39" s="20"/>
      <x:c r="AH39" s="20"/>
      <x:c r="AI39" s="20"/>
      <x:c r="AJ39" s="20"/>
      <x:c r="AK39" s="20" t="str">
        <x:f>IF(AE39="","",AE39+AF39+AG39+AH39+AI39+AJ39)</x:f>
      </x:c>
      <x:c r="AL39" s="32" t="str">
        <x:f>IF(COUNT(M39,T39,AC39,AK39)=4,M39+T39+AC39+AK39,"")</x:f>
      </x:c>
      <x:c r="AM39" s="20" t="str">
        <x:f>IF(AL39="","",IF(AN39="有","重点关注",IF(AL39&gt;=80,"整体功能较好",IF(AL39&gt;=60,"轻度关注",IF(AL39&gt;=40,"中度关注","高度关注")))))</x:f>
      </x:c>
      <x:c r="AN39" s="20" t="str">
        <x:f>IF(OR(M39&lt;=15,T39&lt;=15,AC39&lt;=15,AK39&lt;=15,AD39&lt;0.6,N39&gt;20,U39=0,E39="是",F39&lt;&gt;"合格"),"有","无")</x:f>
        <x:v>有</x:v>
      </x:c>
      <x:c r="AO39" s="20" t="str">
        <x:f>IF(AL39="","",IF(AN39="有","存在红线或单项明显短板，建议重点关注并结合CGA/医生复核。",IF(AM39="整体功能较好","整体功能较好，建议维持运动并定期复测。",IF(AM39="轻度关注","存在部分功能短板，建议针对性训练与随访。",IF(AM39="中度关注","多项能力下降，建议进一步评估肌少症、衰弱或跌倒风险。","活动能力明显下降，建议临床评估与个体化干预。")))))</x:f>
      </x:c>
    </x:row>
    <x:row r="40">
      <x:c r="A40" s="20"/>
      <x:c r="B40" s="20"/>
      <x:c r="C40" s="20"/>
      <x:c r="D40" s="20"/>
      <x:c r="E40" s="20"/>
      <x:c r="F40" s="20"/>
      <x:c r="G40" s="30"/>
      <x:c r="H40" s="28" t="str">
        <x:f>IF(C40="男",G40/28,IF(C40="女",G40/18,""))</x:f>
      </x:c>
      <x:c r="I40" s="20" t="str">
        <x:f>IF(G40="","",IF(H40&gt;=1.1,18,IF(H40&gt;=1,15,IF(H40&gt;=0.85,11,IF(H40&gt;=0.7,7,3)))))</x:f>
      </x:c>
      <x:c r="J40" s="20"/>
      <x:c r="K40" s="20"/>
      <x:c r="L40" s="20"/>
      <x:c r="M40" s="20" t="str">
        <x:f>IF(I40="","",I40+J40+K40+L40)</x:f>
      </x:c>
      <x:c r="N40" s="30"/>
      <x:c r="O40" s="20" t="str">
        <x:f>IF(N40="","",IF(N40&lt;=10,18,IF(N40&lt;=12,15,IF(N40&lt;=15,10,IF(N40&lt;=20,5,2)))))</x:f>
      </x:c>
      <x:c r="P40" s="20"/>
      <x:c r="Q40" s="20"/>
      <x:c r="R40" s="20"/>
      <x:c r="S40" s="20"/>
      <x:c r="T40" s="20" t="str">
        <x:f>IF(O40="","",O40+P40+Q40+R40+S40)</x:f>
      </x:c>
      <x:c r="U40" s="20"/>
      <x:c r="V40" s="20"/>
      <x:c r="W40" s="30"/>
      <x:c r="X40" s="20" t="str">
        <x:f>IF(W40="","",IF(W40&lt;=10,3,IF(W40&lt;=15,2,IF(W40&lt;=20,1,0))))</x:f>
      </x:c>
      <x:c r="Y40" s="20"/>
      <x:c r="Z40" s="20"/>
      <x:c r="AA40" s="20"/>
      <x:c r="AB40" s="20"/>
      <x:c r="AC40" s="20" t="str">
        <x:f>IF(U40="","",U40+V40+X40+Y40+Z40+AA40+AB40)</x:f>
      </x:c>
      <x:c r="AD40" s="28"/>
      <x:c r="AE40" s="20" t="str">
        <x:f>IF(AD40="","",IF(AD40&gt;=1,18,IF(AD40&gt;=0.8,14,IF(AD40&gt;=0.6,9,4))))</x:f>
      </x:c>
      <x:c r="AF40" s="20"/>
      <x:c r="AG40" s="20"/>
      <x:c r="AH40" s="20"/>
      <x:c r="AI40" s="20"/>
      <x:c r="AJ40" s="20"/>
      <x:c r="AK40" s="20" t="str">
        <x:f>IF(AE40="","",AE40+AF40+AG40+AH40+AI40+AJ40)</x:f>
      </x:c>
      <x:c r="AL40" s="32" t="str">
        <x:f>IF(COUNT(M40,T40,AC40,AK40)=4,M40+T40+AC40+AK40,"")</x:f>
      </x:c>
      <x:c r="AM40" s="20" t="str">
        <x:f>IF(AL40="","",IF(AN40="有","重点关注",IF(AL40&gt;=80,"整体功能较好",IF(AL40&gt;=60,"轻度关注",IF(AL40&gt;=40,"中度关注","高度关注")))))</x:f>
      </x:c>
      <x:c r="AN40" s="20" t="str">
        <x:f>IF(OR(M40&lt;=15,T40&lt;=15,AC40&lt;=15,AK40&lt;=15,AD40&lt;0.6,N40&gt;20,U40=0,E40="是",F40&lt;&gt;"合格"),"有","无")</x:f>
        <x:v>有</x:v>
      </x:c>
      <x:c r="AO40" s="20" t="str">
        <x:f>IF(AL40="","",IF(AN40="有","存在红线或单项明显短板，建议重点关注并结合CGA/医生复核。",IF(AM40="整体功能较好","整体功能较好，建议维持运动并定期复测。",IF(AM40="轻度关注","存在部分功能短板，建议针对性训练与随访。",IF(AM40="中度关注","多项能力下降，建议进一步评估肌少症、衰弱或跌倒风险。","活动能力明显下降，建议临床评估与个体化干预。")))))</x:f>
      </x:c>
    </x:row>
    <x:row r="41">
      <x:c r="A41" s="20"/>
      <x:c r="B41" s="20"/>
      <x:c r="C41" s="20"/>
      <x:c r="D41" s="20"/>
      <x:c r="E41" s="20"/>
      <x:c r="F41" s="20"/>
      <x:c r="G41" s="30"/>
      <x:c r="H41" s="28" t="str">
        <x:f>IF(C41="男",G41/28,IF(C41="女",G41/18,""))</x:f>
      </x:c>
      <x:c r="I41" s="20" t="str">
        <x:f>IF(G41="","",IF(H41&gt;=1.1,18,IF(H41&gt;=1,15,IF(H41&gt;=0.85,11,IF(H41&gt;=0.7,7,3)))))</x:f>
      </x:c>
      <x:c r="J41" s="20"/>
      <x:c r="K41" s="20"/>
      <x:c r="L41" s="20"/>
      <x:c r="M41" s="20" t="str">
        <x:f>IF(I41="","",I41+J41+K41+L41)</x:f>
      </x:c>
      <x:c r="N41" s="30"/>
      <x:c r="O41" s="20" t="str">
        <x:f>IF(N41="","",IF(N41&lt;=10,18,IF(N41&lt;=12,15,IF(N41&lt;=15,10,IF(N41&lt;=20,5,2)))))</x:f>
      </x:c>
      <x:c r="P41" s="20"/>
      <x:c r="Q41" s="20"/>
      <x:c r="R41" s="20"/>
      <x:c r="S41" s="20"/>
      <x:c r="T41" s="20" t="str">
        <x:f>IF(O41="","",O41+P41+Q41+R41+S41)</x:f>
      </x:c>
      <x:c r="U41" s="20"/>
      <x:c r="V41" s="20"/>
      <x:c r="W41" s="30"/>
      <x:c r="X41" s="20" t="str">
        <x:f>IF(W41="","",IF(W41&lt;=10,3,IF(W41&lt;=15,2,IF(W41&lt;=20,1,0))))</x:f>
      </x:c>
      <x:c r="Y41" s="20"/>
      <x:c r="Z41" s="20"/>
      <x:c r="AA41" s="20"/>
      <x:c r="AB41" s="20"/>
      <x:c r="AC41" s="20" t="str">
        <x:f>IF(U41="","",U41+V41+X41+Y41+Z41+AA41+AB41)</x:f>
      </x:c>
      <x:c r="AD41" s="28"/>
      <x:c r="AE41" s="20" t="str">
        <x:f>IF(AD41="","",IF(AD41&gt;=1,18,IF(AD41&gt;=0.8,14,IF(AD41&gt;=0.6,9,4))))</x:f>
      </x:c>
      <x:c r="AF41" s="20"/>
      <x:c r="AG41" s="20"/>
      <x:c r="AH41" s="20"/>
      <x:c r="AI41" s="20"/>
      <x:c r="AJ41" s="20"/>
      <x:c r="AK41" s="20" t="str">
        <x:f>IF(AE41="","",AE41+AF41+AG41+AH41+AI41+AJ41)</x:f>
      </x:c>
      <x:c r="AL41" s="32" t="str">
        <x:f>IF(COUNT(M41,T41,AC41,AK41)=4,M41+T41+AC41+AK41,"")</x:f>
      </x:c>
      <x:c r="AM41" s="20" t="str">
        <x:f>IF(AL41="","",IF(AN41="有","重点关注",IF(AL41&gt;=80,"整体功能较好",IF(AL41&gt;=60,"轻度关注",IF(AL41&gt;=40,"中度关注","高度关注")))))</x:f>
      </x:c>
      <x:c r="AN41" s="20" t="str">
        <x:f>IF(OR(M41&lt;=15,T41&lt;=15,AC41&lt;=15,AK41&lt;=15,AD41&lt;0.6,N41&gt;20,U41=0,E41="是",F41&lt;&gt;"合格"),"有","无")</x:f>
        <x:v>有</x:v>
      </x:c>
      <x:c r="AO41" s="20" t="str">
        <x:f>IF(AL41="","",IF(AN41="有","存在红线或单项明显短板，建议重点关注并结合CGA/医生复核。",IF(AM41="整体功能较好","整体功能较好，建议维持运动并定期复测。",IF(AM41="轻度关注","存在部分功能短板，建议针对性训练与随访。",IF(AM41="中度关注","多项能力下降，建议进一步评估肌少症、衰弱或跌倒风险。","活动能力明显下降，建议临床评估与个体化干预。")))))</x:f>
      </x:c>
    </x:row>
    <x:row r="42">
      <x:c r="A42" s="20"/>
      <x:c r="B42" s="20"/>
      <x:c r="C42" s="20"/>
      <x:c r="D42" s="20"/>
      <x:c r="E42" s="20"/>
      <x:c r="F42" s="20"/>
      <x:c r="G42" s="30"/>
      <x:c r="H42" s="28" t="str">
        <x:f>IF(C42="男",G42/28,IF(C42="女",G42/18,""))</x:f>
      </x:c>
      <x:c r="I42" s="20" t="str">
        <x:f>IF(G42="","",IF(H42&gt;=1.1,18,IF(H42&gt;=1,15,IF(H42&gt;=0.85,11,IF(H42&gt;=0.7,7,3)))))</x:f>
      </x:c>
      <x:c r="J42" s="20"/>
      <x:c r="K42" s="20"/>
      <x:c r="L42" s="20"/>
      <x:c r="M42" s="20" t="str">
        <x:f>IF(I42="","",I42+J42+K42+L42)</x:f>
      </x:c>
      <x:c r="N42" s="30"/>
      <x:c r="O42" s="20" t="str">
        <x:f>IF(N42="","",IF(N42&lt;=10,18,IF(N42&lt;=12,15,IF(N42&lt;=15,10,IF(N42&lt;=20,5,2)))))</x:f>
      </x:c>
      <x:c r="P42" s="20"/>
      <x:c r="Q42" s="20"/>
      <x:c r="R42" s="20"/>
      <x:c r="S42" s="20"/>
      <x:c r="T42" s="20" t="str">
        <x:f>IF(O42="","",O42+P42+Q42+R42+S42)</x:f>
      </x:c>
      <x:c r="U42" s="20"/>
      <x:c r="V42" s="20"/>
      <x:c r="W42" s="30"/>
      <x:c r="X42" s="20" t="str">
        <x:f>IF(W42="","",IF(W42&lt;=10,3,IF(W42&lt;=15,2,IF(W42&lt;=20,1,0))))</x:f>
      </x:c>
      <x:c r="Y42" s="20"/>
      <x:c r="Z42" s="20"/>
      <x:c r="AA42" s="20"/>
      <x:c r="AB42" s="20"/>
      <x:c r="AC42" s="20" t="str">
        <x:f>IF(U42="","",U42+V42+X42+Y42+Z42+AA42+AB42)</x:f>
      </x:c>
      <x:c r="AD42" s="28"/>
      <x:c r="AE42" s="20" t="str">
        <x:f>IF(AD42="","",IF(AD42&gt;=1,18,IF(AD42&gt;=0.8,14,IF(AD42&gt;=0.6,9,4))))</x:f>
      </x:c>
      <x:c r="AF42" s="20"/>
      <x:c r="AG42" s="20"/>
      <x:c r="AH42" s="20"/>
      <x:c r="AI42" s="20"/>
      <x:c r="AJ42" s="20"/>
      <x:c r="AK42" s="20" t="str">
        <x:f>IF(AE42="","",AE42+AF42+AG42+AH42+AI42+AJ42)</x:f>
      </x:c>
      <x:c r="AL42" s="32" t="str">
        <x:f>IF(COUNT(M42,T42,AC42,AK42)=4,M42+T42+AC42+AK42,"")</x:f>
      </x:c>
      <x:c r="AM42" s="20" t="str">
        <x:f>IF(AL42="","",IF(AN42="有","重点关注",IF(AL42&gt;=80,"整体功能较好",IF(AL42&gt;=60,"轻度关注",IF(AL42&gt;=40,"中度关注","高度关注")))))</x:f>
      </x:c>
      <x:c r="AN42" s="20" t="str">
        <x:f>IF(OR(M42&lt;=15,T42&lt;=15,AC42&lt;=15,AK42&lt;=15,AD42&lt;0.6,N42&gt;20,U42=0,E42="是",F42&lt;&gt;"合格"),"有","无")</x:f>
        <x:v>有</x:v>
      </x:c>
      <x:c r="AO42" s="20" t="str">
        <x:f>IF(AL42="","",IF(AN42="有","存在红线或单项明显短板，建议重点关注并结合CGA/医生复核。",IF(AM42="整体功能较好","整体功能较好，建议维持运动并定期复测。",IF(AM42="轻度关注","存在部分功能短板，建议针对性训练与随访。",IF(AM42="中度关注","多项能力下降，建议进一步评估肌少症、衰弱或跌倒风险。","活动能力明显下降，建议临床评估与个体化干预。")))))</x:f>
      </x:c>
    </x:row>
    <x:row r="43">
      <x:c r="A43" s="20"/>
      <x:c r="B43" s="20"/>
      <x:c r="C43" s="20"/>
      <x:c r="D43" s="20"/>
      <x:c r="E43" s="20"/>
      <x:c r="F43" s="20"/>
      <x:c r="G43" s="30"/>
      <x:c r="H43" s="28" t="str">
        <x:f>IF(C43="男",G43/28,IF(C43="女",G43/18,""))</x:f>
      </x:c>
      <x:c r="I43" s="20" t="str">
        <x:f>IF(G43="","",IF(H43&gt;=1.1,18,IF(H43&gt;=1,15,IF(H43&gt;=0.85,11,IF(H43&gt;=0.7,7,3)))))</x:f>
      </x:c>
      <x:c r="J43" s="20"/>
      <x:c r="K43" s="20"/>
      <x:c r="L43" s="20"/>
      <x:c r="M43" s="20" t="str">
        <x:f>IF(I43="","",I43+J43+K43+L43)</x:f>
      </x:c>
      <x:c r="N43" s="30"/>
      <x:c r="O43" s="20" t="str">
        <x:f>IF(N43="","",IF(N43&lt;=10,18,IF(N43&lt;=12,15,IF(N43&lt;=15,10,IF(N43&lt;=20,5,2)))))</x:f>
      </x:c>
      <x:c r="P43" s="20"/>
      <x:c r="Q43" s="20"/>
      <x:c r="R43" s="20"/>
      <x:c r="S43" s="20"/>
      <x:c r="T43" s="20" t="str">
        <x:f>IF(O43="","",O43+P43+Q43+R43+S43)</x:f>
      </x:c>
      <x:c r="U43" s="20"/>
      <x:c r="V43" s="20"/>
      <x:c r="W43" s="30"/>
      <x:c r="X43" s="20" t="str">
        <x:f>IF(W43="","",IF(W43&lt;=10,3,IF(W43&lt;=15,2,IF(W43&lt;=20,1,0))))</x:f>
      </x:c>
      <x:c r="Y43" s="20"/>
      <x:c r="Z43" s="20"/>
      <x:c r="AA43" s="20"/>
      <x:c r="AB43" s="20"/>
      <x:c r="AC43" s="20" t="str">
        <x:f>IF(U43="","",U43+V43+X43+Y43+Z43+AA43+AB43)</x:f>
      </x:c>
      <x:c r="AD43" s="28"/>
      <x:c r="AE43" s="20" t="str">
        <x:f>IF(AD43="","",IF(AD43&gt;=1,18,IF(AD43&gt;=0.8,14,IF(AD43&gt;=0.6,9,4))))</x:f>
      </x:c>
      <x:c r="AF43" s="20"/>
      <x:c r="AG43" s="20"/>
      <x:c r="AH43" s="20"/>
      <x:c r="AI43" s="20"/>
      <x:c r="AJ43" s="20"/>
      <x:c r="AK43" s="20" t="str">
        <x:f>IF(AE43="","",AE43+AF43+AG43+AH43+AI43+AJ43)</x:f>
      </x:c>
      <x:c r="AL43" s="32" t="str">
        <x:f>IF(COUNT(M43,T43,AC43,AK43)=4,M43+T43+AC43+AK43,"")</x:f>
      </x:c>
      <x:c r="AM43" s="20" t="str">
        <x:f>IF(AL43="","",IF(AN43="有","重点关注",IF(AL43&gt;=80,"整体功能较好",IF(AL43&gt;=60,"轻度关注",IF(AL43&gt;=40,"中度关注","高度关注")))))</x:f>
      </x:c>
      <x:c r="AN43" s="20" t="str">
        <x:f>IF(OR(M43&lt;=15,T43&lt;=15,AC43&lt;=15,AK43&lt;=15,AD43&lt;0.6,N43&gt;20,U43=0,E43="是",F43&lt;&gt;"合格"),"有","无")</x:f>
        <x:v>有</x:v>
      </x:c>
      <x:c r="AO43" s="20" t="str">
        <x:f>IF(AL43="","",IF(AN43="有","存在红线或单项明显短板，建议重点关注并结合CGA/医生复核。",IF(AM43="整体功能较好","整体功能较好，建议维持运动并定期复测。",IF(AM43="轻度关注","存在部分功能短板，建议针对性训练与随访。",IF(AM43="中度关注","多项能力下降，建议进一步评估肌少症、衰弱或跌倒风险。","活动能力明显下降，建议临床评估与个体化干预。")))))</x:f>
      </x:c>
    </x:row>
    <x:row r="44">
      <x:c r="A44" s="20"/>
      <x:c r="B44" s="20"/>
      <x:c r="C44" s="20"/>
      <x:c r="D44" s="20"/>
      <x:c r="E44" s="20"/>
      <x:c r="F44" s="20"/>
      <x:c r="G44" s="30"/>
      <x:c r="H44" s="28" t="str">
        <x:f>IF(C44="男",G44/28,IF(C44="女",G44/18,""))</x:f>
      </x:c>
      <x:c r="I44" s="20" t="str">
        <x:f>IF(G44="","",IF(H44&gt;=1.1,18,IF(H44&gt;=1,15,IF(H44&gt;=0.85,11,IF(H44&gt;=0.7,7,3)))))</x:f>
      </x:c>
      <x:c r="J44" s="20"/>
      <x:c r="K44" s="20"/>
      <x:c r="L44" s="20"/>
      <x:c r="M44" s="20" t="str">
        <x:f>IF(I44="","",I44+J44+K44+L44)</x:f>
      </x:c>
      <x:c r="N44" s="30"/>
      <x:c r="O44" s="20" t="str">
        <x:f>IF(N44="","",IF(N44&lt;=10,18,IF(N44&lt;=12,15,IF(N44&lt;=15,10,IF(N44&lt;=20,5,2)))))</x:f>
      </x:c>
      <x:c r="P44" s="20"/>
      <x:c r="Q44" s="20"/>
      <x:c r="R44" s="20"/>
      <x:c r="S44" s="20"/>
      <x:c r="T44" s="20" t="str">
        <x:f>IF(O44="","",O44+P44+Q44+R44+S44)</x:f>
      </x:c>
      <x:c r="U44" s="20"/>
      <x:c r="V44" s="20"/>
      <x:c r="W44" s="30"/>
      <x:c r="X44" s="20" t="str">
        <x:f>IF(W44="","",IF(W44&lt;=10,3,IF(W44&lt;=15,2,IF(W44&lt;=20,1,0))))</x:f>
      </x:c>
      <x:c r="Y44" s="20"/>
      <x:c r="Z44" s="20"/>
      <x:c r="AA44" s="20"/>
      <x:c r="AB44" s="20"/>
      <x:c r="AC44" s="20" t="str">
        <x:f>IF(U44="","",U44+V44+X44+Y44+Z44+AA44+AB44)</x:f>
      </x:c>
      <x:c r="AD44" s="28"/>
      <x:c r="AE44" s="20" t="str">
        <x:f>IF(AD44="","",IF(AD44&gt;=1,18,IF(AD44&gt;=0.8,14,IF(AD44&gt;=0.6,9,4))))</x:f>
      </x:c>
      <x:c r="AF44" s="20"/>
      <x:c r="AG44" s="20"/>
      <x:c r="AH44" s="20"/>
      <x:c r="AI44" s="20"/>
      <x:c r="AJ44" s="20"/>
      <x:c r="AK44" s="20" t="str">
        <x:f>IF(AE44="","",AE44+AF44+AG44+AH44+AI44+AJ44)</x:f>
      </x:c>
      <x:c r="AL44" s="32" t="str">
        <x:f>IF(COUNT(M44,T44,AC44,AK44)=4,M44+T44+AC44+AK44,"")</x:f>
      </x:c>
      <x:c r="AM44" s="20" t="str">
        <x:f>IF(AL44="","",IF(AN44="有","重点关注",IF(AL44&gt;=80,"整体功能较好",IF(AL44&gt;=60,"轻度关注",IF(AL44&gt;=40,"中度关注","高度关注")))))</x:f>
      </x:c>
      <x:c r="AN44" s="20" t="str">
        <x:f>IF(OR(M44&lt;=15,T44&lt;=15,AC44&lt;=15,AK44&lt;=15,AD44&lt;0.6,N44&gt;20,U44=0,E44="是",F44&lt;&gt;"合格"),"有","无")</x:f>
        <x:v>有</x:v>
      </x:c>
      <x:c r="AO44" s="20" t="str">
        <x:f>IF(AL44="","",IF(AN44="有","存在红线或单项明显短板，建议重点关注并结合CGA/医生复核。",IF(AM44="整体功能较好","整体功能较好，建议维持运动并定期复测。",IF(AM44="轻度关注","存在部分功能短板，建议针对性训练与随访。",IF(AM44="中度关注","多项能力下降，建议进一步评估肌少症、衰弱或跌倒风险。","活动能力明显下降，建议临床评估与个体化干预。")))))</x:f>
      </x:c>
    </x:row>
    <x:row r="45">
      <x:c r="A45" s="20"/>
      <x:c r="B45" s="20"/>
      <x:c r="C45" s="20"/>
      <x:c r="D45" s="20"/>
      <x:c r="E45" s="20"/>
      <x:c r="F45" s="20"/>
      <x:c r="G45" s="30"/>
      <x:c r="H45" s="28" t="str">
        <x:f>IF(C45="男",G45/28,IF(C45="女",G45/18,""))</x:f>
      </x:c>
      <x:c r="I45" s="20" t="str">
        <x:f>IF(G45="","",IF(H45&gt;=1.1,18,IF(H45&gt;=1,15,IF(H45&gt;=0.85,11,IF(H45&gt;=0.7,7,3)))))</x:f>
      </x:c>
      <x:c r="J45" s="20"/>
      <x:c r="K45" s="20"/>
      <x:c r="L45" s="20"/>
      <x:c r="M45" s="20" t="str">
        <x:f>IF(I45="","",I45+J45+K45+L45)</x:f>
      </x:c>
      <x:c r="N45" s="30"/>
      <x:c r="O45" s="20" t="str">
        <x:f>IF(N45="","",IF(N45&lt;=10,18,IF(N45&lt;=12,15,IF(N45&lt;=15,10,IF(N45&lt;=20,5,2)))))</x:f>
      </x:c>
      <x:c r="P45" s="20"/>
      <x:c r="Q45" s="20"/>
      <x:c r="R45" s="20"/>
      <x:c r="S45" s="20"/>
      <x:c r="T45" s="20" t="str">
        <x:f>IF(O45="","",O45+P45+Q45+R45+S45)</x:f>
      </x:c>
      <x:c r="U45" s="20"/>
      <x:c r="V45" s="20"/>
      <x:c r="W45" s="30"/>
      <x:c r="X45" s="20" t="str">
        <x:f>IF(W45="","",IF(W45&lt;=10,3,IF(W45&lt;=15,2,IF(W45&lt;=20,1,0))))</x:f>
      </x:c>
      <x:c r="Y45" s="20"/>
      <x:c r="Z45" s="20"/>
      <x:c r="AA45" s="20"/>
      <x:c r="AB45" s="20"/>
      <x:c r="AC45" s="20" t="str">
        <x:f>IF(U45="","",U45+V45+X45+Y45+Z45+AA45+AB45)</x:f>
      </x:c>
      <x:c r="AD45" s="28"/>
      <x:c r="AE45" s="20" t="str">
        <x:f>IF(AD45="","",IF(AD45&gt;=1,18,IF(AD45&gt;=0.8,14,IF(AD45&gt;=0.6,9,4))))</x:f>
      </x:c>
      <x:c r="AF45" s="20"/>
      <x:c r="AG45" s="20"/>
      <x:c r="AH45" s="20"/>
      <x:c r="AI45" s="20"/>
      <x:c r="AJ45" s="20"/>
      <x:c r="AK45" s="20" t="str">
        <x:f>IF(AE45="","",AE45+AF45+AG45+AH45+AI45+AJ45)</x:f>
      </x:c>
      <x:c r="AL45" s="32" t="str">
        <x:f>IF(COUNT(M45,T45,AC45,AK45)=4,M45+T45+AC45+AK45,"")</x:f>
      </x:c>
      <x:c r="AM45" s="20" t="str">
        <x:f>IF(AL45="","",IF(AN45="有","重点关注",IF(AL45&gt;=80,"整体功能较好",IF(AL45&gt;=60,"轻度关注",IF(AL45&gt;=40,"中度关注","高度关注")))))</x:f>
      </x:c>
      <x:c r="AN45" s="20" t="str">
        <x:f>IF(OR(M45&lt;=15,T45&lt;=15,AC45&lt;=15,AK45&lt;=15,AD45&lt;0.6,N45&gt;20,U45=0,E45="是",F45&lt;&gt;"合格"),"有","无")</x:f>
        <x:v>有</x:v>
      </x:c>
      <x:c r="AO45" s="20" t="str">
        <x:f>IF(AL45="","",IF(AN45="有","存在红线或单项明显短板，建议重点关注并结合CGA/医生复核。",IF(AM45="整体功能较好","整体功能较好，建议维持运动并定期复测。",IF(AM45="轻度关注","存在部分功能短板，建议针对性训练与随访。",IF(AM45="中度关注","多项能力下降，建议进一步评估肌少症、衰弱或跌倒风险。","活动能力明显下降，建议临床评估与个体化干预。")))))</x:f>
      </x:c>
    </x:row>
    <x:row r="46">
      <x:c r="A46" s="20"/>
      <x:c r="B46" s="20"/>
      <x:c r="C46" s="20"/>
      <x:c r="D46" s="20"/>
      <x:c r="E46" s="20"/>
      <x:c r="F46" s="20"/>
      <x:c r="G46" s="30"/>
      <x:c r="H46" s="28" t="str">
        <x:f>IF(C46="男",G46/28,IF(C46="女",G46/18,""))</x:f>
      </x:c>
      <x:c r="I46" s="20" t="str">
        <x:f>IF(G46="","",IF(H46&gt;=1.1,18,IF(H46&gt;=1,15,IF(H46&gt;=0.85,11,IF(H46&gt;=0.7,7,3)))))</x:f>
      </x:c>
      <x:c r="J46" s="20"/>
      <x:c r="K46" s="20"/>
      <x:c r="L46" s="20"/>
      <x:c r="M46" s="20" t="str">
        <x:f>IF(I46="","",I46+J46+K46+L46)</x:f>
      </x:c>
      <x:c r="N46" s="30"/>
      <x:c r="O46" s="20" t="str">
        <x:f>IF(N46="","",IF(N46&lt;=10,18,IF(N46&lt;=12,15,IF(N46&lt;=15,10,IF(N46&lt;=20,5,2)))))</x:f>
      </x:c>
      <x:c r="P46" s="20"/>
      <x:c r="Q46" s="20"/>
      <x:c r="R46" s="20"/>
      <x:c r="S46" s="20"/>
      <x:c r="T46" s="20" t="str">
        <x:f>IF(O46="","",O46+P46+Q46+R46+S46)</x:f>
      </x:c>
      <x:c r="U46" s="20"/>
      <x:c r="V46" s="20"/>
      <x:c r="W46" s="30"/>
      <x:c r="X46" s="20" t="str">
        <x:f>IF(W46="","",IF(W46&lt;=10,3,IF(W46&lt;=15,2,IF(W46&lt;=20,1,0))))</x:f>
      </x:c>
      <x:c r="Y46" s="20"/>
      <x:c r="Z46" s="20"/>
      <x:c r="AA46" s="20"/>
      <x:c r="AB46" s="20"/>
      <x:c r="AC46" s="20" t="str">
        <x:f>IF(U46="","",U46+V46+X46+Y46+Z46+AA46+AB46)</x:f>
      </x:c>
      <x:c r="AD46" s="28"/>
      <x:c r="AE46" s="20" t="str">
        <x:f>IF(AD46="","",IF(AD46&gt;=1,18,IF(AD46&gt;=0.8,14,IF(AD46&gt;=0.6,9,4))))</x:f>
      </x:c>
      <x:c r="AF46" s="20"/>
      <x:c r="AG46" s="20"/>
      <x:c r="AH46" s="20"/>
      <x:c r="AI46" s="20"/>
      <x:c r="AJ46" s="20"/>
      <x:c r="AK46" s="20" t="str">
        <x:f>IF(AE46="","",AE46+AF46+AG46+AH46+AI46+AJ46)</x:f>
      </x:c>
      <x:c r="AL46" s="32" t="str">
        <x:f>IF(COUNT(M46,T46,AC46,AK46)=4,M46+T46+AC46+AK46,"")</x:f>
      </x:c>
      <x:c r="AM46" s="20" t="str">
        <x:f>IF(AL46="","",IF(AN46="有","重点关注",IF(AL46&gt;=80,"整体功能较好",IF(AL46&gt;=60,"轻度关注",IF(AL46&gt;=40,"中度关注","高度关注")))))</x:f>
      </x:c>
      <x:c r="AN46" s="20" t="str">
        <x:f>IF(OR(M46&lt;=15,T46&lt;=15,AC46&lt;=15,AK46&lt;=15,AD46&lt;0.6,N46&gt;20,U46=0,E46="是",F46&lt;&gt;"合格"),"有","无")</x:f>
        <x:v>有</x:v>
      </x:c>
      <x:c r="AO46" s="20" t="str">
        <x:f>IF(AL46="","",IF(AN46="有","存在红线或单项明显短板，建议重点关注并结合CGA/医生复核。",IF(AM46="整体功能较好","整体功能较好，建议维持运动并定期复测。",IF(AM46="轻度关注","存在部分功能短板，建议针对性训练与随访。",IF(AM46="中度关注","多项能力下降，建议进一步评估肌少症、衰弱或跌倒风险。","活动能力明显下降，建议临床评估与个体化干预。")))))</x:f>
      </x:c>
    </x:row>
    <x:row r="47">
      <x:c r="A47" s="20"/>
      <x:c r="B47" s="20"/>
      <x:c r="C47" s="20"/>
      <x:c r="D47" s="20"/>
      <x:c r="E47" s="20"/>
      <x:c r="F47" s="20"/>
      <x:c r="G47" s="30"/>
      <x:c r="H47" s="28" t="str">
        <x:f>IF(C47="男",G47/28,IF(C47="女",G47/18,""))</x:f>
      </x:c>
      <x:c r="I47" s="20" t="str">
        <x:f>IF(G47="","",IF(H47&gt;=1.1,18,IF(H47&gt;=1,15,IF(H47&gt;=0.85,11,IF(H47&gt;=0.7,7,3)))))</x:f>
      </x:c>
      <x:c r="J47" s="20"/>
      <x:c r="K47" s="20"/>
      <x:c r="L47" s="20"/>
      <x:c r="M47" s="20" t="str">
        <x:f>IF(I47="","",I47+J47+K47+L47)</x:f>
      </x:c>
      <x:c r="N47" s="30"/>
      <x:c r="O47" s="20" t="str">
        <x:f>IF(N47="","",IF(N47&lt;=10,18,IF(N47&lt;=12,15,IF(N47&lt;=15,10,IF(N47&lt;=20,5,2)))))</x:f>
      </x:c>
      <x:c r="P47" s="20"/>
      <x:c r="Q47" s="20"/>
      <x:c r="R47" s="20"/>
      <x:c r="S47" s="20"/>
      <x:c r="T47" s="20" t="str">
        <x:f>IF(O47="","",O47+P47+Q47+R47+S47)</x:f>
      </x:c>
      <x:c r="U47" s="20"/>
      <x:c r="V47" s="20"/>
      <x:c r="W47" s="30"/>
      <x:c r="X47" s="20" t="str">
        <x:f>IF(W47="","",IF(W47&lt;=10,3,IF(W47&lt;=15,2,IF(W47&lt;=20,1,0))))</x:f>
      </x:c>
      <x:c r="Y47" s="20"/>
      <x:c r="Z47" s="20"/>
      <x:c r="AA47" s="20"/>
      <x:c r="AB47" s="20"/>
      <x:c r="AC47" s="20" t="str">
        <x:f>IF(U47="","",U47+V47+X47+Y47+Z47+AA47+AB47)</x:f>
      </x:c>
      <x:c r="AD47" s="28"/>
      <x:c r="AE47" s="20" t="str">
        <x:f>IF(AD47="","",IF(AD47&gt;=1,18,IF(AD47&gt;=0.8,14,IF(AD47&gt;=0.6,9,4))))</x:f>
      </x:c>
      <x:c r="AF47" s="20"/>
      <x:c r="AG47" s="20"/>
      <x:c r="AH47" s="20"/>
      <x:c r="AI47" s="20"/>
      <x:c r="AJ47" s="20"/>
      <x:c r="AK47" s="20" t="str">
        <x:f>IF(AE47="","",AE47+AF47+AG47+AH47+AI47+AJ47)</x:f>
      </x:c>
      <x:c r="AL47" s="32" t="str">
        <x:f>IF(COUNT(M47,T47,AC47,AK47)=4,M47+T47+AC47+AK47,"")</x:f>
      </x:c>
      <x:c r="AM47" s="20" t="str">
        <x:f>IF(AL47="","",IF(AN47="有","重点关注",IF(AL47&gt;=80,"整体功能较好",IF(AL47&gt;=60,"轻度关注",IF(AL47&gt;=40,"中度关注","高度关注")))))</x:f>
      </x:c>
      <x:c r="AN47" s="20" t="str">
        <x:f>IF(OR(M47&lt;=15,T47&lt;=15,AC47&lt;=15,AK47&lt;=15,AD47&lt;0.6,N47&gt;20,U47=0,E47="是",F47&lt;&gt;"合格"),"有","无")</x:f>
        <x:v>有</x:v>
      </x:c>
      <x:c r="AO47" s="20" t="str">
        <x:f>IF(AL47="","",IF(AN47="有","存在红线或单项明显短板，建议重点关注并结合CGA/医生复核。",IF(AM47="整体功能较好","整体功能较好，建议维持运动并定期复测。",IF(AM47="轻度关注","存在部分功能短板，建议针对性训练与随访。",IF(AM47="中度关注","多项能力下降，建议进一步评估肌少症、衰弱或跌倒风险。","活动能力明显下降，建议临床评估与个体化干预。")))))</x:f>
      </x:c>
    </x:row>
    <x:row r="48">
      <x:c r="A48" s="20"/>
      <x:c r="B48" s="20"/>
      <x:c r="C48" s="20"/>
      <x:c r="D48" s="20"/>
      <x:c r="E48" s="20"/>
      <x:c r="F48" s="20"/>
      <x:c r="G48" s="30"/>
      <x:c r="H48" s="28" t="str">
        <x:f>IF(C48="男",G48/28,IF(C48="女",G48/18,""))</x:f>
      </x:c>
      <x:c r="I48" s="20" t="str">
        <x:f>IF(G48="","",IF(H48&gt;=1.1,18,IF(H48&gt;=1,15,IF(H48&gt;=0.85,11,IF(H48&gt;=0.7,7,3)))))</x:f>
      </x:c>
      <x:c r="J48" s="20"/>
      <x:c r="K48" s="20"/>
      <x:c r="L48" s="20"/>
      <x:c r="M48" s="20" t="str">
        <x:f>IF(I48="","",I48+J48+K48+L48)</x:f>
      </x:c>
      <x:c r="N48" s="30"/>
      <x:c r="O48" s="20" t="str">
        <x:f>IF(N48="","",IF(N48&lt;=10,18,IF(N48&lt;=12,15,IF(N48&lt;=15,10,IF(N48&lt;=20,5,2)))))</x:f>
      </x:c>
      <x:c r="P48" s="20"/>
      <x:c r="Q48" s="20"/>
      <x:c r="R48" s="20"/>
      <x:c r="S48" s="20"/>
      <x:c r="T48" s="20" t="str">
        <x:f>IF(O48="","",O48+P48+Q48+R48+S48)</x:f>
      </x:c>
      <x:c r="U48" s="20"/>
      <x:c r="V48" s="20"/>
      <x:c r="W48" s="30"/>
      <x:c r="X48" s="20" t="str">
        <x:f>IF(W48="","",IF(W48&lt;=10,3,IF(W48&lt;=15,2,IF(W48&lt;=20,1,0))))</x:f>
      </x:c>
      <x:c r="Y48" s="20"/>
      <x:c r="Z48" s="20"/>
      <x:c r="AA48" s="20"/>
      <x:c r="AB48" s="20"/>
      <x:c r="AC48" s="20" t="str">
        <x:f>IF(U48="","",U48+V48+X48+Y48+Z48+AA48+AB48)</x:f>
      </x:c>
      <x:c r="AD48" s="28"/>
      <x:c r="AE48" s="20" t="str">
        <x:f>IF(AD48="","",IF(AD48&gt;=1,18,IF(AD48&gt;=0.8,14,IF(AD48&gt;=0.6,9,4))))</x:f>
      </x:c>
      <x:c r="AF48" s="20"/>
      <x:c r="AG48" s="20"/>
      <x:c r="AH48" s="20"/>
      <x:c r="AI48" s="20"/>
      <x:c r="AJ48" s="20"/>
      <x:c r="AK48" s="20" t="str">
        <x:f>IF(AE48="","",AE48+AF48+AG48+AH48+AI48+AJ48)</x:f>
      </x:c>
      <x:c r="AL48" s="32" t="str">
        <x:f>IF(COUNT(M48,T48,AC48,AK48)=4,M48+T48+AC48+AK48,"")</x:f>
      </x:c>
      <x:c r="AM48" s="20" t="str">
        <x:f>IF(AL48="","",IF(AN48="有","重点关注",IF(AL48&gt;=80,"整体功能较好",IF(AL48&gt;=60,"轻度关注",IF(AL48&gt;=40,"中度关注","高度关注")))))</x:f>
      </x:c>
      <x:c r="AN48" s="20" t="str">
        <x:f>IF(OR(M48&lt;=15,T48&lt;=15,AC48&lt;=15,AK48&lt;=15,AD48&lt;0.6,N48&gt;20,U48=0,E48="是",F48&lt;&gt;"合格"),"有","无")</x:f>
        <x:v>有</x:v>
      </x:c>
      <x:c r="AO48" s="20" t="str">
        <x:f>IF(AL48="","",IF(AN48="有","存在红线或单项明显短板，建议重点关注并结合CGA/医生复核。",IF(AM48="整体功能较好","整体功能较好，建议维持运动并定期复测。",IF(AM48="轻度关注","存在部分功能短板，建议针对性训练与随访。",IF(AM48="中度关注","多项能力下降，建议进一步评估肌少症、衰弱或跌倒风险。","活动能力明显下降，建议临床评估与个体化干预。")))))</x:f>
      </x:c>
    </x:row>
    <x:row r="49">
      <x:c r="A49" s="20"/>
      <x:c r="B49" s="20"/>
      <x:c r="C49" s="20"/>
      <x:c r="D49" s="20"/>
      <x:c r="E49" s="20"/>
      <x:c r="F49" s="20"/>
      <x:c r="G49" s="30"/>
      <x:c r="H49" s="28" t="str">
        <x:f>IF(C49="男",G49/28,IF(C49="女",G49/18,""))</x:f>
      </x:c>
      <x:c r="I49" s="20" t="str">
        <x:f>IF(G49="","",IF(H49&gt;=1.1,18,IF(H49&gt;=1,15,IF(H49&gt;=0.85,11,IF(H49&gt;=0.7,7,3)))))</x:f>
      </x:c>
      <x:c r="J49" s="20"/>
      <x:c r="K49" s="20"/>
      <x:c r="L49" s="20"/>
      <x:c r="M49" s="20" t="str">
        <x:f>IF(I49="","",I49+J49+K49+L49)</x:f>
      </x:c>
      <x:c r="N49" s="30"/>
      <x:c r="O49" s="20" t="str">
        <x:f>IF(N49="","",IF(N49&lt;=10,18,IF(N49&lt;=12,15,IF(N49&lt;=15,10,IF(N49&lt;=20,5,2)))))</x:f>
      </x:c>
      <x:c r="P49" s="20"/>
      <x:c r="Q49" s="20"/>
      <x:c r="R49" s="20"/>
      <x:c r="S49" s="20"/>
      <x:c r="T49" s="20" t="str">
        <x:f>IF(O49="","",O49+P49+Q49+R49+S49)</x:f>
      </x:c>
      <x:c r="U49" s="20"/>
      <x:c r="V49" s="20"/>
      <x:c r="W49" s="30"/>
      <x:c r="X49" s="20" t="str">
        <x:f>IF(W49="","",IF(W49&lt;=10,3,IF(W49&lt;=15,2,IF(W49&lt;=20,1,0))))</x:f>
      </x:c>
      <x:c r="Y49" s="20"/>
      <x:c r="Z49" s="20"/>
      <x:c r="AA49" s="20"/>
      <x:c r="AB49" s="20"/>
      <x:c r="AC49" s="20" t="str">
        <x:f>IF(U49="","",U49+V49+X49+Y49+Z49+AA49+AB49)</x:f>
      </x:c>
      <x:c r="AD49" s="28"/>
      <x:c r="AE49" s="20" t="str">
        <x:f>IF(AD49="","",IF(AD49&gt;=1,18,IF(AD49&gt;=0.8,14,IF(AD49&gt;=0.6,9,4))))</x:f>
      </x:c>
      <x:c r="AF49" s="20"/>
      <x:c r="AG49" s="20"/>
      <x:c r="AH49" s="20"/>
      <x:c r="AI49" s="20"/>
      <x:c r="AJ49" s="20"/>
      <x:c r="AK49" s="20" t="str">
        <x:f>IF(AE49="","",AE49+AF49+AG49+AH49+AI49+AJ49)</x:f>
      </x:c>
      <x:c r="AL49" s="32" t="str">
        <x:f>IF(COUNT(M49,T49,AC49,AK49)=4,M49+T49+AC49+AK49,"")</x:f>
      </x:c>
      <x:c r="AM49" s="20" t="str">
        <x:f>IF(AL49="","",IF(AN49="有","重点关注",IF(AL49&gt;=80,"整体功能较好",IF(AL49&gt;=60,"轻度关注",IF(AL49&gt;=40,"中度关注","高度关注")))))</x:f>
      </x:c>
      <x:c r="AN49" s="20" t="str">
        <x:f>IF(OR(M49&lt;=15,T49&lt;=15,AC49&lt;=15,AK49&lt;=15,AD49&lt;0.6,N49&gt;20,U49=0,E49="是",F49&lt;&gt;"合格"),"有","无")</x:f>
        <x:v>有</x:v>
      </x:c>
      <x:c r="AO49" s="20" t="str">
        <x:f>IF(AL49="","",IF(AN49="有","存在红线或单项明显短板，建议重点关注并结合CGA/医生复核。",IF(AM49="整体功能较好","整体功能较好，建议维持运动并定期复测。",IF(AM49="轻度关注","存在部分功能短板，建议针对性训练与随访。",IF(AM49="中度关注","多项能力下降，建议进一步评估肌少症、衰弱或跌倒风险。","活动能力明显下降，建议临床评估与个体化干预。")))))</x:f>
      </x:c>
    </x:row>
    <x:row r="50">
      <x:c r="A50" s="20"/>
      <x:c r="B50" s="20"/>
      <x:c r="C50" s="20"/>
      <x:c r="D50" s="20"/>
      <x:c r="E50" s="20"/>
      <x:c r="F50" s="20"/>
      <x:c r="G50" s="30"/>
      <x:c r="H50" s="28" t="str">
        <x:f>IF(C50="男",G50/28,IF(C50="女",G50/18,""))</x:f>
      </x:c>
      <x:c r="I50" s="20" t="str">
        <x:f>IF(G50="","",IF(H50&gt;=1.1,18,IF(H50&gt;=1,15,IF(H50&gt;=0.85,11,IF(H50&gt;=0.7,7,3)))))</x:f>
      </x:c>
      <x:c r="J50" s="20"/>
      <x:c r="K50" s="20"/>
      <x:c r="L50" s="20"/>
      <x:c r="M50" s="20" t="str">
        <x:f>IF(I50="","",I50+J50+K50+L50)</x:f>
      </x:c>
      <x:c r="N50" s="30"/>
      <x:c r="O50" s="20" t="str">
        <x:f>IF(N50="","",IF(N50&lt;=10,18,IF(N50&lt;=12,15,IF(N50&lt;=15,10,IF(N50&lt;=20,5,2)))))</x:f>
      </x:c>
      <x:c r="P50" s="20"/>
      <x:c r="Q50" s="20"/>
      <x:c r="R50" s="20"/>
      <x:c r="S50" s="20"/>
      <x:c r="T50" s="20" t="str">
        <x:f>IF(O50="","",O50+P50+Q50+R50+S50)</x:f>
      </x:c>
      <x:c r="U50" s="20"/>
      <x:c r="V50" s="20"/>
      <x:c r="W50" s="30"/>
      <x:c r="X50" s="20" t="str">
        <x:f>IF(W50="","",IF(W50&lt;=10,3,IF(W50&lt;=15,2,IF(W50&lt;=20,1,0))))</x:f>
      </x:c>
      <x:c r="Y50" s="20"/>
      <x:c r="Z50" s="20"/>
      <x:c r="AA50" s="20"/>
      <x:c r="AB50" s="20"/>
      <x:c r="AC50" s="20" t="str">
        <x:f>IF(U50="","",U50+V50+X50+Y50+Z50+AA50+AB50)</x:f>
      </x:c>
      <x:c r="AD50" s="28"/>
      <x:c r="AE50" s="20" t="str">
        <x:f>IF(AD50="","",IF(AD50&gt;=1,18,IF(AD50&gt;=0.8,14,IF(AD50&gt;=0.6,9,4))))</x:f>
      </x:c>
      <x:c r="AF50" s="20"/>
      <x:c r="AG50" s="20"/>
      <x:c r="AH50" s="20"/>
      <x:c r="AI50" s="20"/>
      <x:c r="AJ50" s="20"/>
      <x:c r="AK50" s="20" t="str">
        <x:f>IF(AE50="","",AE50+AF50+AG50+AH50+AI50+AJ50)</x:f>
      </x:c>
      <x:c r="AL50" s="32" t="str">
        <x:f>IF(COUNT(M50,T50,AC50,AK50)=4,M50+T50+AC50+AK50,"")</x:f>
      </x:c>
      <x:c r="AM50" s="20" t="str">
        <x:f>IF(AL50="","",IF(AN50="有","重点关注",IF(AL50&gt;=80,"整体功能较好",IF(AL50&gt;=60,"轻度关注",IF(AL50&gt;=40,"中度关注","高度关注")))))</x:f>
      </x:c>
      <x:c r="AN50" s="20" t="str">
        <x:f>IF(OR(M50&lt;=15,T50&lt;=15,AC50&lt;=15,AK50&lt;=15,AD50&lt;0.6,N50&gt;20,U50=0,E50="是",F50&lt;&gt;"合格"),"有","无")</x:f>
        <x:v>有</x:v>
      </x:c>
      <x:c r="AO50" s="20" t="str">
        <x:f>IF(AL50="","",IF(AN50="有","存在红线或单项明显短板，建议重点关注并结合CGA/医生复核。",IF(AM50="整体功能较好","整体功能较好，建议维持运动并定期复测。",IF(AM50="轻度关注","存在部分功能短板，建议针对性训练与随访。",IF(AM50="中度关注","多项能力下降，建议进一步评估肌少症、衰弱或跌倒风险。","活动能力明显下降，建议临床评估与个体化干预。")))))</x:f>
      </x:c>
    </x:row>
    <x:row r="51">
      <x:c r="A51" s="20"/>
      <x:c r="B51" s="20"/>
      <x:c r="C51" s="20"/>
      <x:c r="D51" s="20"/>
      <x:c r="E51" s="20"/>
      <x:c r="F51" s="20"/>
      <x:c r="G51" s="30"/>
      <x:c r="H51" s="28" t="str">
        <x:f>IF(C51="男",G51/28,IF(C51="女",G51/18,""))</x:f>
      </x:c>
      <x:c r="I51" s="20" t="str">
        <x:f>IF(G51="","",IF(H51&gt;=1.1,18,IF(H51&gt;=1,15,IF(H51&gt;=0.85,11,IF(H51&gt;=0.7,7,3)))))</x:f>
      </x:c>
      <x:c r="J51" s="20"/>
      <x:c r="K51" s="20"/>
      <x:c r="L51" s="20"/>
      <x:c r="M51" s="20" t="str">
        <x:f>IF(I51="","",I51+J51+K51+L51)</x:f>
      </x:c>
      <x:c r="N51" s="30"/>
      <x:c r="O51" s="20" t="str">
        <x:f>IF(N51="","",IF(N51&lt;=10,18,IF(N51&lt;=12,15,IF(N51&lt;=15,10,IF(N51&lt;=20,5,2)))))</x:f>
      </x:c>
      <x:c r="P51" s="20"/>
      <x:c r="Q51" s="20"/>
      <x:c r="R51" s="20"/>
      <x:c r="S51" s="20"/>
      <x:c r="T51" s="20" t="str">
        <x:f>IF(O51="","",O51+P51+Q51+R51+S51)</x:f>
      </x:c>
      <x:c r="U51" s="20"/>
      <x:c r="V51" s="20"/>
      <x:c r="W51" s="30"/>
      <x:c r="X51" s="20" t="str">
        <x:f>IF(W51="","",IF(W51&lt;=10,3,IF(W51&lt;=15,2,IF(W51&lt;=20,1,0))))</x:f>
      </x:c>
      <x:c r="Y51" s="20"/>
      <x:c r="Z51" s="20"/>
      <x:c r="AA51" s="20"/>
      <x:c r="AB51" s="20"/>
      <x:c r="AC51" s="20" t="str">
        <x:f>IF(U51="","",U51+V51+X51+Y51+Z51+AA51+AB51)</x:f>
      </x:c>
      <x:c r="AD51" s="28"/>
      <x:c r="AE51" s="20" t="str">
        <x:f>IF(AD51="","",IF(AD51&gt;=1,18,IF(AD51&gt;=0.8,14,IF(AD51&gt;=0.6,9,4))))</x:f>
      </x:c>
      <x:c r="AF51" s="20"/>
      <x:c r="AG51" s="20"/>
      <x:c r="AH51" s="20"/>
      <x:c r="AI51" s="20"/>
      <x:c r="AJ51" s="20"/>
      <x:c r="AK51" s="20" t="str">
        <x:f>IF(AE51="","",AE51+AF51+AG51+AH51+AI51+AJ51)</x:f>
      </x:c>
      <x:c r="AL51" s="32" t="str">
        <x:f>IF(COUNT(M51,T51,AC51,AK51)=4,M51+T51+AC51+AK51,"")</x:f>
      </x:c>
      <x:c r="AM51" s="20" t="str">
        <x:f>IF(AL51="","",IF(AN51="有","重点关注",IF(AL51&gt;=80,"整体功能较好",IF(AL51&gt;=60,"轻度关注",IF(AL51&gt;=40,"中度关注","高度关注")))))</x:f>
      </x:c>
      <x:c r="AN51" s="20" t="str">
        <x:f>IF(OR(M51&lt;=15,T51&lt;=15,AC51&lt;=15,AK51&lt;=15,AD51&lt;0.6,N51&gt;20,U51=0,E51="是",F51&lt;&gt;"合格"),"有","无")</x:f>
        <x:v>有</x:v>
      </x:c>
      <x:c r="AO51" s="20" t="str">
        <x:f>IF(AL51="","",IF(AN51="有","存在红线或单项明显短板，建议重点关注并结合CGA/医生复核。",IF(AM51="整体功能较好","整体功能较好，建议维持运动并定期复测。",IF(AM51="轻度关注","存在部分功能短板，建议针对性训练与随访。",IF(AM51="中度关注","多项能力下降，建议进一步评估肌少症、衰弱或跌倒风险。","活动能力明显下降，建议临床评估与个体化干预。")))))</x:f>
      </x:c>
    </x:row>
    <x:row r="52">
      <x:c r="A52" s="20"/>
      <x:c r="B52" s="20"/>
      <x:c r="C52" s="20"/>
      <x:c r="D52" s="20"/>
      <x:c r="E52" s="20"/>
      <x:c r="F52" s="20"/>
      <x:c r="G52" s="30"/>
      <x:c r="H52" s="28" t="str">
        <x:f>IF(C52="男",G52/28,IF(C52="女",G52/18,""))</x:f>
      </x:c>
      <x:c r="I52" s="20" t="str">
        <x:f>IF(G52="","",IF(H52&gt;=1.1,18,IF(H52&gt;=1,15,IF(H52&gt;=0.85,11,IF(H52&gt;=0.7,7,3)))))</x:f>
      </x:c>
      <x:c r="J52" s="20"/>
      <x:c r="K52" s="20"/>
      <x:c r="L52" s="20"/>
      <x:c r="M52" s="20" t="str">
        <x:f>IF(I52="","",I52+J52+K52+L52)</x:f>
      </x:c>
      <x:c r="N52" s="30"/>
      <x:c r="O52" s="20" t="str">
        <x:f>IF(N52="","",IF(N52&lt;=10,18,IF(N52&lt;=12,15,IF(N52&lt;=15,10,IF(N52&lt;=20,5,2)))))</x:f>
      </x:c>
      <x:c r="P52" s="20"/>
      <x:c r="Q52" s="20"/>
      <x:c r="R52" s="20"/>
      <x:c r="S52" s="20"/>
      <x:c r="T52" s="20" t="str">
        <x:f>IF(O52="","",O52+P52+Q52+R52+S52)</x:f>
      </x:c>
      <x:c r="U52" s="20"/>
      <x:c r="V52" s="20"/>
      <x:c r="W52" s="30"/>
      <x:c r="X52" s="20" t="str">
        <x:f>IF(W52="","",IF(W52&lt;=10,3,IF(W52&lt;=15,2,IF(W52&lt;=20,1,0))))</x:f>
      </x:c>
      <x:c r="Y52" s="20"/>
      <x:c r="Z52" s="20"/>
      <x:c r="AA52" s="20"/>
      <x:c r="AB52" s="20"/>
      <x:c r="AC52" s="20" t="str">
        <x:f>IF(U52="","",U52+V52+X52+Y52+Z52+AA52+AB52)</x:f>
      </x:c>
      <x:c r="AD52" s="28"/>
      <x:c r="AE52" s="20" t="str">
        <x:f>IF(AD52="","",IF(AD52&gt;=1,18,IF(AD52&gt;=0.8,14,IF(AD52&gt;=0.6,9,4))))</x:f>
      </x:c>
      <x:c r="AF52" s="20"/>
      <x:c r="AG52" s="20"/>
      <x:c r="AH52" s="20"/>
      <x:c r="AI52" s="20"/>
      <x:c r="AJ52" s="20"/>
      <x:c r="AK52" s="20" t="str">
        <x:f>IF(AE52="","",AE52+AF52+AG52+AH52+AI52+AJ52)</x:f>
      </x:c>
      <x:c r="AL52" s="32" t="str">
        <x:f>IF(COUNT(M52,T52,AC52,AK52)=4,M52+T52+AC52+AK52,"")</x:f>
      </x:c>
      <x:c r="AM52" s="20" t="str">
        <x:f>IF(AL52="","",IF(AN52="有","重点关注",IF(AL52&gt;=80,"整体功能较好",IF(AL52&gt;=60,"轻度关注",IF(AL52&gt;=40,"中度关注","高度关注")))))</x:f>
      </x:c>
      <x:c r="AN52" s="20" t="str">
        <x:f>IF(OR(M52&lt;=15,T52&lt;=15,AC52&lt;=15,AK52&lt;=15,AD52&lt;0.6,N52&gt;20,U52=0,E52="是",F52&lt;&gt;"合格"),"有","无")</x:f>
        <x:v>有</x:v>
      </x:c>
      <x:c r="AO52" s="20" t="str">
        <x:f>IF(AL52="","",IF(AN52="有","存在红线或单项明显短板，建议重点关注并结合CGA/医生复核。",IF(AM52="整体功能较好","整体功能较好，建议维持运动并定期复测。",IF(AM52="轻度关注","存在部分功能短板，建议针对性训练与随访。",IF(AM52="中度关注","多项能力下降，建议进一步评估肌少症、衰弱或跌倒风险。","活动能力明显下降，建议临床评估与个体化干预。")))))</x:f>
      </x:c>
    </x:row>
    <x:row r="53">
      <x:c r="A53" s="20"/>
      <x:c r="B53" s="20"/>
      <x:c r="C53" s="20"/>
      <x:c r="D53" s="20"/>
      <x:c r="E53" s="20"/>
      <x:c r="F53" s="20"/>
      <x:c r="G53" s="30"/>
      <x:c r="H53" s="28" t="str">
        <x:f>IF(C53="男",G53/28,IF(C53="女",G53/18,""))</x:f>
      </x:c>
      <x:c r="I53" s="20" t="str">
        <x:f>IF(G53="","",IF(H53&gt;=1.1,18,IF(H53&gt;=1,15,IF(H53&gt;=0.85,11,IF(H53&gt;=0.7,7,3)))))</x:f>
      </x:c>
      <x:c r="J53" s="20"/>
      <x:c r="K53" s="20"/>
      <x:c r="L53" s="20"/>
      <x:c r="M53" s="20" t="str">
        <x:f>IF(I53="","",I53+J53+K53+L53)</x:f>
      </x:c>
      <x:c r="N53" s="30"/>
      <x:c r="O53" s="20" t="str">
        <x:f>IF(N53="","",IF(N53&lt;=10,18,IF(N53&lt;=12,15,IF(N53&lt;=15,10,IF(N53&lt;=20,5,2)))))</x:f>
      </x:c>
      <x:c r="P53" s="20"/>
      <x:c r="Q53" s="20"/>
      <x:c r="R53" s="20"/>
      <x:c r="S53" s="20"/>
      <x:c r="T53" s="20" t="str">
        <x:f>IF(O53="","",O53+P53+Q53+R53+S53)</x:f>
      </x:c>
      <x:c r="U53" s="20"/>
      <x:c r="V53" s="20"/>
      <x:c r="W53" s="30"/>
      <x:c r="X53" s="20" t="str">
        <x:f>IF(W53="","",IF(W53&lt;=10,3,IF(W53&lt;=15,2,IF(W53&lt;=20,1,0))))</x:f>
      </x:c>
      <x:c r="Y53" s="20"/>
      <x:c r="Z53" s="20"/>
      <x:c r="AA53" s="20"/>
      <x:c r="AB53" s="20"/>
      <x:c r="AC53" s="20" t="str">
        <x:f>IF(U53="","",U53+V53+X53+Y53+Z53+AA53+AB53)</x:f>
      </x:c>
      <x:c r="AD53" s="28"/>
      <x:c r="AE53" s="20" t="str">
        <x:f>IF(AD53="","",IF(AD53&gt;=1,18,IF(AD53&gt;=0.8,14,IF(AD53&gt;=0.6,9,4))))</x:f>
      </x:c>
      <x:c r="AF53" s="20"/>
      <x:c r="AG53" s="20"/>
      <x:c r="AH53" s="20"/>
      <x:c r="AI53" s="20"/>
      <x:c r="AJ53" s="20"/>
      <x:c r="AK53" s="20" t="str">
        <x:f>IF(AE53="","",AE53+AF53+AG53+AH53+AI53+AJ53)</x:f>
      </x:c>
      <x:c r="AL53" s="32" t="str">
        <x:f>IF(COUNT(M53,T53,AC53,AK53)=4,M53+T53+AC53+AK53,"")</x:f>
      </x:c>
      <x:c r="AM53" s="20" t="str">
        <x:f>IF(AL53="","",IF(AN53="有","重点关注",IF(AL53&gt;=80,"整体功能较好",IF(AL53&gt;=60,"轻度关注",IF(AL53&gt;=40,"中度关注","高度关注")))))</x:f>
      </x:c>
      <x:c r="AN53" s="20" t="str">
        <x:f>IF(OR(M53&lt;=15,T53&lt;=15,AC53&lt;=15,AK53&lt;=15,AD53&lt;0.6,N53&gt;20,U53=0,E53="是",F53&lt;&gt;"合格"),"有","无")</x:f>
        <x:v>有</x:v>
      </x:c>
      <x:c r="AO53" s="20" t="str">
        <x:f>IF(AL53="","",IF(AN53="有","存在红线或单项明显短板，建议重点关注并结合CGA/医生复核。",IF(AM53="整体功能较好","整体功能较好，建议维持运动并定期复测。",IF(AM53="轻度关注","存在部分功能短板，建议针对性训练与随访。",IF(AM53="中度关注","多项能力下降，建议进一步评估肌少症、衰弱或跌倒风险。","活动能力明显下降，建议临床评估与个体化干预。")))))</x:f>
      </x:c>
    </x:row>
    <x:row r="54">
      <x:c r="A54" s="20"/>
      <x:c r="B54" s="20"/>
      <x:c r="C54" s="20"/>
      <x:c r="D54" s="20"/>
      <x:c r="E54" s="20"/>
      <x:c r="F54" s="20"/>
      <x:c r="G54" s="30"/>
      <x:c r="H54" s="28" t="str">
        <x:f>IF(C54="男",G54/28,IF(C54="女",G54/18,""))</x:f>
      </x:c>
      <x:c r="I54" s="20" t="str">
        <x:f>IF(G54="","",IF(H54&gt;=1.1,18,IF(H54&gt;=1,15,IF(H54&gt;=0.85,11,IF(H54&gt;=0.7,7,3)))))</x:f>
      </x:c>
      <x:c r="J54" s="20"/>
      <x:c r="K54" s="20"/>
      <x:c r="L54" s="20"/>
      <x:c r="M54" s="20" t="str">
        <x:f>IF(I54="","",I54+J54+K54+L54)</x:f>
      </x:c>
      <x:c r="N54" s="30"/>
      <x:c r="O54" s="20" t="str">
        <x:f>IF(N54="","",IF(N54&lt;=10,18,IF(N54&lt;=12,15,IF(N54&lt;=15,10,IF(N54&lt;=20,5,2)))))</x:f>
      </x:c>
      <x:c r="P54" s="20"/>
      <x:c r="Q54" s="20"/>
      <x:c r="R54" s="20"/>
      <x:c r="S54" s="20"/>
      <x:c r="T54" s="20" t="str">
        <x:f>IF(O54="","",O54+P54+Q54+R54+S54)</x:f>
      </x:c>
      <x:c r="U54" s="20"/>
      <x:c r="V54" s="20"/>
      <x:c r="W54" s="30"/>
      <x:c r="X54" s="20" t="str">
        <x:f>IF(W54="","",IF(W54&lt;=10,3,IF(W54&lt;=15,2,IF(W54&lt;=20,1,0))))</x:f>
      </x:c>
      <x:c r="Y54" s="20"/>
      <x:c r="Z54" s="20"/>
      <x:c r="AA54" s="20"/>
      <x:c r="AB54" s="20"/>
      <x:c r="AC54" s="20" t="str">
        <x:f>IF(U54="","",U54+V54+X54+Y54+Z54+AA54+AB54)</x:f>
      </x:c>
      <x:c r="AD54" s="28"/>
      <x:c r="AE54" s="20" t="str">
        <x:f>IF(AD54="","",IF(AD54&gt;=1,18,IF(AD54&gt;=0.8,14,IF(AD54&gt;=0.6,9,4))))</x:f>
      </x:c>
      <x:c r="AF54" s="20"/>
      <x:c r="AG54" s="20"/>
      <x:c r="AH54" s="20"/>
      <x:c r="AI54" s="20"/>
      <x:c r="AJ54" s="20"/>
      <x:c r="AK54" s="20" t="str">
        <x:f>IF(AE54="","",AE54+AF54+AG54+AH54+AI54+AJ54)</x:f>
      </x:c>
      <x:c r="AL54" s="32" t="str">
        <x:f>IF(COUNT(M54,T54,AC54,AK54)=4,M54+T54+AC54+AK54,"")</x:f>
      </x:c>
      <x:c r="AM54" s="20" t="str">
        <x:f>IF(AL54="","",IF(AN54="有","重点关注",IF(AL54&gt;=80,"整体功能较好",IF(AL54&gt;=60,"轻度关注",IF(AL54&gt;=40,"中度关注","高度关注")))))</x:f>
      </x:c>
      <x:c r="AN54" s="20" t="str">
        <x:f>IF(OR(M54&lt;=15,T54&lt;=15,AC54&lt;=15,AK54&lt;=15,AD54&lt;0.6,N54&gt;20,U54=0,E54="是",F54&lt;&gt;"合格"),"有","无")</x:f>
        <x:v>有</x:v>
      </x:c>
      <x:c r="AO54" s="20" t="str">
        <x:f>IF(AL54="","",IF(AN54="有","存在红线或单项明显短板，建议重点关注并结合CGA/医生复核。",IF(AM54="整体功能较好","整体功能较好，建议维持运动并定期复测。",IF(AM54="轻度关注","存在部分功能短板，建议针对性训练与随访。",IF(AM54="中度关注","多项能力下降，建议进一步评估肌少症、衰弱或跌倒风险。","活动能力明显下降，建议临床评估与个体化干预。")))))</x:f>
      </x:c>
    </x:row>
    <x:row r="55">
      <x:c r="A55" s="20"/>
      <x:c r="B55" s="20"/>
      <x:c r="C55" s="20"/>
      <x:c r="D55" s="20"/>
      <x:c r="E55" s="20"/>
      <x:c r="F55" s="20"/>
      <x:c r="G55" s="30"/>
      <x:c r="H55" s="28" t="str">
        <x:f>IF(C55="男",G55/28,IF(C55="女",G55/18,""))</x:f>
      </x:c>
      <x:c r="I55" s="20" t="str">
        <x:f>IF(G55="","",IF(H55&gt;=1.1,18,IF(H55&gt;=1,15,IF(H55&gt;=0.85,11,IF(H55&gt;=0.7,7,3)))))</x:f>
      </x:c>
      <x:c r="J55" s="20"/>
      <x:c r="K55" s="20"/>
      <x:c r="L55" s="20"/>
      <x:c r="M55" s="20" t="str">
        <x:f>IF(I55="","",I55+J55+K55+L55)</x:f>
      </x:c>
      <x:c r="N55" s="30"/>
      <x:c r="O55" s="20" t="str">
        <x:f>IF(N55="","",IF(N55&lt;=10,18,IF(N55&lt;=12,15,IF(N55&lt;=15,10,IF(N55&lt;=20,5,2)))))</x:f>
      </x:c>
      <x:c r="P55" s="20"/>
      <x:c r="Q55" s="20"/>
      <x:c r="R55" s="20"/>
      <x:c r="S55" s="20"/>
      <x:c r="T55" s="20" t="str">
        <x:f>IF(O55="","",O55+P55+Q55+R55+S55)</x:f>
      </x:c>
      <x:c r="U55" s="20"/>
      <x:c r="V55" s="20"/>
      <x:c r="W55" s="30"/>
      <x:c r="X55" s="20" t="str">
        <x:f>IF(W55="","",IF(W55&lt;=10,3,IF(W55&lt;=15,2,IF(W55&lt;=20,1,0))))</x:f>
      </x:c>
      <x:c r="Y55" s="20"/>
      <x:c r="Z55" s="20"/>
      <x:c r="AA55" s="20"/>
      <x:c r="AB55" s="20"/>
      <x:c r="AC55" s="20" t="str">
        <x:f>IF(U55="","",U55+V55+X55+Y55+Z55+AA55+AB55)</x:f>
      </x:c>
      <x:c r="AD55" s="28"/>
      <x:c r="AE55" s="20" t="str">
        <x:f>IF(AD55="","",IF(AD55&gt;=1,18,IF(AD55&gt;=0.8,14,IF(AD55&gt;=0.6,9,4))))</x:f>
      </x:c>
      <x:c r="AF55" s="20"/>
      <x:c r="AG55" s="20"/>
      <x:c r="AH55" s="20"/>
      <x:c r="AI55" s="20"/>
      <x:c r="AJ55" s="20"/>
      <x:c r="AK55" s="20" t="str">
        <x:f>IF(AE55="","",AE55+AF55+AG55+AH55+AI55+AJ55)</x:f>
      </x:c>
      <x:c r="AL55" s="32" t="str">
        <x:f>IF(COUNT(M55,T55,AC55,AK55)=4,M55+T55+AC55+AK55,"")</x:f>
      </x:c>
      <x:c r="AM55" s="20" t="str">
        <x:f>IF(AL55="","",IF(AN55="有","重点关注",IF(AL55&gt;=80,"整体功能较好",IF(AL55&gt;=60,"轻度关注",IF(AL55&gt;=40,"中度关注","高度关注")))))</x:f>
      </x:c>
      <x:c r="AN55" s="20" t="str">
        <x:f>IF(OR(M55&lt;=15,T55&lt;=15,AC55&lt;=15,AK55&lt;=15,AD55&lt;0.6,N55&gt;20,U55=0,E55="是",F55&lt;&gt;"合格"),"有","无")</x:f>
        <x:v>有</x:v>
      </x:c>
      <x:c r="AO55" s="20" t="str">
        <x:f>IF(AL55="","",IF(AN55="有","存在红线或单项明显短板，建议重点关注并结合CGA/医生复核。",IF(AM55="整体功能较好","整体功能较好，建议维持运动并定期复测。",IF(AM55="轻度关注","存在部分功能短板，建议针对性训练与随访。",IF(AM55="中度关注","多项能力下降，建议进一步评估肌少症、衰弱或跌倒风险。","活动能力明显下降，建议临床评估与个体化干预。")))))</x:f>
      </x:c>
    </x:row>
    <x:row r="56">
      <x:c r="A56" s="20"/>
      <x:c r="B56" s="20"/>
      <x:c r="C56" s="20"/>
      <x:c r="D56" s="20"/>
      <x:c r="E56" s="20"/>
      <x:c r="F56" s="20"/>
      <x:c r="G56" s="30"/>
      <x:c r="H56" s="28" t="str">
        <x:f>IF(C56="男",G56/28,IF(C56="女",G56/18,""))</x:f>
      </x:c>
      <x:c r="I56" s="20" t="str">
        <x:f>IF(G56="","",IF(H56&gt;=1.1,18,IF(H56&gt;=1,15,IF(H56&gt;=0.85,11,IF(H56&gt;=0.7,7,3)))))</x:f>
      </x:c>
      <x:c r="J56" s="20"/>
      <x:c r="K56" s="20"/>
      <x:c r="L56" s="20"/>
      <x:c r="M56" s="20" t="str">
        <x:f>IF(I56="","",I56+J56+K56+L56)</x:f>
      </x:c>
      <x:c r="N56" s="30"/>
      <x:c r="O56" s="20" t="str">
        <x:f>IF(N56="","",IF(N56&lt;=10,18,IF(N56&lt;=12,15,IF(N56&lt;=15,10,IF(N56&lt;=20,5,2)))))</x:f>
      </x:c>
      <x:c r="P56" s="20"/>
      <x:c r="Q56" s="20"/>
      <x:c r="R56" s="20"/>
      <x:c r="S56" s="20"/>
      <x:c r="T56" s="20" t="str">
        <x:f>IF(O56="","",O56+P56+Q56+R56+S56)</x:f>
      </x:c>
      <x:c r="U56" s="20"/>
      <x:c r="V56" s="20"/>
      <x:c r="W56" s="30"/>
      <x:c r="X56" s="20" t="str">
        <x:f>IF(W56="","",IF(W56&lt;=10,3,IF(W56&lt;=15,2,IF(W56&lt;=20,1,0))))</x:f>
      </x:c>
      <x:c r="Y56" s="20"/>
      <x:c r="Z56" s="20"/>
      <x:c r="AA56" s="20"/>
      <x:c r="AB56" s="20"/>
      <x:c r="AC56" s="20" t="str">
        <x:f>IF(U56="","",U56+V56+X56+Y56+Z56+AA56+AB56)</x:f>
      </x:c>
      <x:c r="AD56" s="28"/>
      <x:c r="AE56" s="20" t="str">
        <x:f>IF(AD56="","",IF(AD56&gt;=1,18,IF(AD56&gt;=0.8,14,IF(AD56&gt;=0.6,9,4))))</x:f>
      </x:c>
      <x:c r="AF56" s="20"/>
      <x:c r="AG56" s="20"/>
      <x:c r="AH56" s="20"/>
      <x:c r="AI56" s="20"/>
      <x:c r="AJ56" s="20"/>
      <x:c r="AK56" s="20" t="str">
        <x:f>IF(AE56="","",AE56+AF56+AG56+AH56+AI56+AJ56)</x:f>
      </x:c>
      <x:c r="AL56" s="32" t="str">
        <x:f>IF(COUNT(M56,T56,AC56,AK56)=4,M56+T56+AC56+AK56,"")</x:f>
      </x:c>
      <x:c r="AM56" s="20" t="str">
        <x:f>IF(AL56="","",IF(AN56="有","重点关注",IF(AL56&gt;=80,"整体功能较好",IF(AL56&gt;=60,"轻度关注",IF(AL56&gt;=40,"中度关注","高度关注")))))</x:f>
      </x:c>
      <x:c r="AN56" s="20" t="str">
        <x:f>IF(OR(M56&lt;=15,T56&lt;=15,AC56&lt;=15,AK56&lt;=15,AD56&lt;0.6,N56&gt;20,U56=0,E56="是",F56&lt;&gt;"合格"),"有","无")</x:f>
        <x:v>有</x:v>
      </x:c>
      <x:c r="AO56" s="20" t="str">
        <x:f>IF(AL56="","",IF(AN56="有","存在红线或单项明显短板，建议重点关注并结合CGA/医生复核。",IF(AM56="整体功能较好","整体功能较好，建议维持运动并定期复测。",IF(AM56="轻度关注","存在部分功能短板，建议针对性训练与随访。",IF(AM56="中度关注","多项能力下降，建议进一步评估肌少症、衰弱或跌倒风险。","活动能力明显下降，建议临床评估与个体化干预。")))))</x:f>
      </x:c>
    </x:row>
    <x:row r="57">
      <x:c r="A57" s="20"/>
      <x:c r="B57" s="20"/>
      <x:c r="C57" s="20"/>
      <x:c r="D57" s="20"/>
      <x:c r="E57" s="20"/>
      <x:c r="F57" s="20"/>
      <x:c r="G57" s="30"/>
      <x:c r="H57" s="28" t="str">
        <x:f>IF(C57="男",G57/28,IF(C57="女",G57/18,""))</x:f>
      </x:c>
      <x:c r="I57" s="20" t="str">
        <x:f>IF(G57="","",IF(H57&gt;=1.1,18,IF(H57&gt;=1,15,IF(H57&gt;=0.85,11,IF(H57&gt;=0.7,7,3)))))</x:f>
      </x:c>
      <x:c r="J57" s="20"/>
      <x:c r="K57" s="20"/>
      <x:c r="L57" s="20"/>
      <x:c r="M57" s="20" t="str">
        <x:f>IF(I57="","",I57+J57+K57+L57)</x:f>
      </x:c>
      <x:c r="N57" s="30"/>
      <x:c r="O57" s="20" t="str">
        <x:f>IF(N57="","",IF(N57&lt;=10,18,IF(N57&lt;=12,15,IF(N57&lt;=15,10,IF(N57&lt;=20,5,2)))))</x:f>
      </x:c>
      <x:c r="P57" s="20"/>
      <x:c r="Q57" s="20"/>
      <x:c r="R57" s="20"/>
      <x:c r="S57" s="20"/>
      <x:c r="T57" s="20" t="str">
        <x:f>IF(O57="","",O57+P57+Q57+R57+S57)</x:f>
      </x:c>
      <x:c r="U57" s="20"/>
      <x:c r="V57" s="20"/>
      <x:c r="W57" s="30"/>
      <x:c r="X57" s="20" t="str">
        <x:f>IF(W57="","",IF(W57&lt;=10,3,IF(W57&lt;=15,2,IF(W57&lt;=20,1,0))))</x:f>
      </x:c>
      <x:c r="Y57" s="20"/>
      <x:c r="Z57" s="20"/>
      <x:c r="AA57" s="20"/>
      <x:c r="AB57" s="20"/>
      <x:c r="AC57" s="20" t="str">
        <x:f>IF(U57="","",U57+V57+X57+Y57+Z57+AA57+AB57)</x:f>
      </x:c>
      <x:c r="AD57" s="28"/>
      <x:c r="AE57" s="20" t="str">
        <x:f>IF(AD57="","",IF(AD57&gt;=1,18,IF(AD57&gt;=0.8,14,IF(AD57&gt;=0.6,9,4))))</x:f>
      </x:c>
      <x:c r="AF57" s="20"/>
      <x:c r="AG57" s="20"/>
      <x:c r="AH57" s="20"/>
      <x:c r="AI57" s="20"/>
      <x:c r="AJ57" s="20"/>
      <x:c r="AK57" s="20" t="str">
        <x:f>IF(AE57="","",AE57+AF57+AG57+AH57+AI57+AJ57)</x:f>
      </x:c>
      <x:c r="AL57" s="32" t="str">
        <x:f>IF(COUNT(M57,T57,AC57,AK57)=4,M57+T57+AC57+AK57,"")</x:f>
      </x:c>
      <x:c r="AM57" s="20" t="str">
        <x:f>IF(AL57="","",IF(AN57="有","重点关注",IF(AL57&gt;=80,"整体功能较好",IF(AL57&gt;=60,"轻度关注",IF(AL57&gt;=40,"中度关注","高度关注")))))</x:f>
      </x:c>
      <x:c r="AN57" s="20" t="str">
        <x:f>IF(OR(M57&lt;=15,T57&lt;=15,AC57&lt;=15,AK57&lt;=15,AD57&lt;0.6,N57&gt;20,U57=0,E57="是",F57&lt;&gt;"合格"),"有","无")</x:f>
        <x:v>有</x:v>
      </x:c>
      <x:c r="AO57" s="20" t="str">
        <x:f>IF(AL57="","",IF(AN57="有","存在红线或单项明显短板，建议重点关注并结合CGA/医生复核。",IF(AM57="整体功能较好","整体功能较好，建议维持运动并定期复测。",IF(AM57="轻度关注","存在部分功能短板，建议针对性训练与随访。",IF(AM57="中度关注","多项能力下降，建议进一步评估肌少症、衰弱或跌倒风险。","活动能力明显下降，建议临床评估与个体化干预。")))))</x:f>
      </x:c>
    </x:row>
    <x:row r="58">
      <x:c r="A58" s="20"/>
      <x:c r="B58" s="20"/>
      <x:c r="C58" s="20"/>
      <x:c r="D58" s="20"/>
      <x:c r="E58" s="20"/>
      <x:c r="F58" s="20"/>
      <x:c r="G58" s="30"/>
      <x:c r="H58" s="28" t="str">
        <x:f>IF(C58="男",G58/28,IF(C58="女",G58/18,""))</x:f>
      </x:c>
      <x:c r="I58" s="20" t="str">
        <x:f>IF(G58="","",IF(H58&gt;=1.1,18,IF(H58&gt;=1,15,IF(H58&gt;=0.85,11,IF(H58&gt;=0.7,7,3)))))</x:f>
      </x:c>
      <x:c r="J58" s="20"/>
      <x:c r="K58" s="20"/>
      <x:c r="L58" s="20"/>
      <x:c r="M58" s="20" t="str">
        <x:f>IF(I58="","",I58+J58+K58+L58)</x:f>
      </x:c>
      <x:c r="N58" s="30"/>
      <x:c r="O58" s="20" t="str">
        <x:f>IF(N58="","",IF(N58&lt;=10,18,IF(N58&lt;=12,15,IF(N58&lt;=15,10,IF(N58&lt;=20,5,2)))))</x:f>
      </x:c>
      <x:c r="P58" s="20"/>
      <x:c r="Q58" s="20"/>
      <x:c r="R58" s="20"/>
      <x:c r="S58" s="20"/>
      <x:c r="T58" s="20" t="str">
        <x:f>IF(O58="","",O58+P58+Q58+R58+S58)</x:f>
      </x:c>
      <x:c r="U58" s="20"/>
      <x:c r="V58" s="20"/>
      <x:c r="W58" s="30"/>
      <x:c r="X58" s="20" t="str">
        <x:f>IF(W58="","",IF(W58&lt;=10,3,IF(W58&lt;=15,2,IF(W58&lt;=20,1,0))))</x:f>
      </x:c>
      <x:c r="Y58" s="20"/>
      <x:c r="Z58" s="20"/>
      <x:c r="AA58" s="20"/>
      <x:c r="AB58" s="20"/>
      <x:c r="AC58" s="20" t="str">
        <x:f>IF(U58="","",U58+V58+X58+Y58+Z58+AA58+AB58)</x:f>
      </x:c>
      <x:c r="AD58" s="28"/>
      <x:c r="AE58" s="20" t="str">
        <x:f>IF(AD58="","",IF(AD58&gt;=1,18,IF(AD58&gt;=0.8,14,IF(AD58&gt;=0.6,9,4))))</x:f>
      </x:c>
      <x:c r="AF58" s="20"/>
      <x:c r="AG58" s="20"/>
      <x:c r="AH58" s="20"/>
      <x:c r="AI58" s="20"/>
      <x:c r="AJ58" s="20"/>
      <x:c r="AK58" s="20" t="str">
        <x:f>IF(AE58="","",AE58+AF58+AG58+AH58+AI58+AJ58)</x:f>
      </x:c>
      <x:c r="AL58" s="32" t="str">
        <x:f>IF(COUNT(M58,T58,AC58,AK58)=4,M58+T58+AC58+AK58,"")</x:f>
      </x:c>
      <x:c r="AM58" s="20" t="str">
        <x:f>IF(AL58="","",IF(AN58="有","重点关注",IF(AL58&gt;=80,"整体功能较好",IF(AL58&gt;=60,"轻度关注",IF(AL58&gt;=40,"中度关注","高度关注")))))</x:f>
      </x:c>
      <x:c r="AN58" s="20" t="str">
        <x:f>IF(OR(M58&lt;=15,T58&lt;=15,AC58&lt;=15,AK58&lt;=15,AD58&lt;0.6,N58&gt;20,U58=0,E58="是",F58&lt;&gt;"合格"),"有","无")</x:f>
        <x:v>有</x:v>
      </x:c>
      <x:c r="AO58" s="20" t="str">
        <x:f>IF(AL58="","",IF(AN58="有","存在红线或单项明显短板，建议重点关注并结合CGA/医生复核。",IF(AM58="整体功能较好","整体功能较好，建议维持运动并定期复测。",IF(AM58="轻度关注","存在部分功能短板，建议针对性训练与随访。",IF(AM58="中度关注","多项能力下降，建议进一步评估肌少症、衰弱或跌倒风险。","活动能力明显下降，建议临床评估与个体化干预。")))))</x:f>
      </x:c>
    </x:row>
    <x:row r="59">
      <x:c r="A59" s="20"/>
      <x:c r="B59" s="20"/>
      <x:c r="C59" s="20"/>
      <x:c r="D59" s="20"/>
      <x:c r="E59" s="20"/>
      <x:c r="F59" s="20"/>
      <x:c r="G59" s="30"/>
      <x:c r="H59" s="28" t="str">
        <x:f>IF(C59="男",G59/28,IF(C59="女",G59/18,""))</x:f>
      </x:c>
      <x:c r="I59" s="20" t="str">
        <x:f>IF(G59="","",IF(H59&gt;=1.1,18,IF(H59&gt;=1,15,IF(H59&gt;=0.85,11,IF(H59&gt;=0.7,7,3)))))</x:f>
      </x:c>
      <x:c r="J59" s="20"/>
      <x:c r="K59" s="20"/>
      <x:c r="L59" s="20"/>
      <x:c r="M59" s="20" t="str">
        <x:f>IF(I59="","",I59+J59+K59+L59)</x:f>
      </x:c>
      <x:c r="N59" s="30"/>
      <x:c r="O59" s="20" t="str">
        <x:f>IF(N59="","",IF(N59&lt;=10,18,IF(N59&lt;=12,15,IF(N59&lt;=15,10,IF(N59&lt;=20,5,2)))))</x:f>
      </x:c>
      <x:c r="P59" s="20"/>
      <x:c r="Q59" s="20"/>
      <x:c r="R59" s="20"/>
      <x:c r="S59" s="20"/>
      <x:c r="T59" s="20" t="str">
        <x:f>IF(O59="","",O59+P59+Q59+R59+S59)</x:f>
      </x:c>
      <x:c r="U59" s="20"/>
      <x:c r="V59" s="20"/>
      <x:c r="W59" s="30"/>
      <x:c r="X59" s="20" t="str">
        <x:f>IF(W59="","",IF(W59&lt;=10,3,IF(W59&lt;=15,2,IF(W59&lt;=20,1,0))))</x:f>
      </x:c>
      <x:c r="Y59" s="20"/>
      <x:c r="Z59" s="20"/>
      <x:c r="AA59" s="20"/>
      <x:c r="AB59" s="20"/>
      <x:c r="AC59" s="20" t="str">
        <x:f>IF(U59="","",U59+V59+X59+Y59+Z59+AA59+AB59)</x:f>
      </x:c>
      <x:c r="AD59" s="28"/>
      <x:c r="AE59" s="20" t="str">
        <x:f>IF(AD59="","",IF(AD59&gt;=1,18,IF(AD59&gt;=0.8,14,IF(AD59&gt;=0.6,9,4))))</x:f>
      </x:c>
      <x:c r="AF59" s="20"/>
      <x:c r="AG59" s="20"/>
      <x:c r="AH59" s="20"/>
      <x:c r="AI59" s="20"/>
      <x:c r="AJ59" s="20"/>
      <x:c r="AK59" s="20" t="str">
        <x:f>IF(AE59="","",AE59+AF59+AG59+AH59+AI59+AJ59)</x:f>
      </x:c>
      <x:c r="AL59" s="32" t="str">
        <x:f>IF(COUNT(M59,T59,AC59,AK59)=4,M59+T59+AC59+AK59,"")</x:f>
      </x:c>
      <x:c r="AM59" s="20" t="str">
        <x:f>IF(AL59="","",IF(AN59="有","重点关注",IF(AL59&gt;=80,"整体功能较好",IF(AL59&gt;=60,"轻度关注",IF(AL59&gt;=40,"中度关注","高度关注")))))</x:f>
      </x:c>
      <x:c r="AN59" s="20" t="str">
        <x:f>IF(OR(M59&lt;=15,T59&lt;=15,AC59&lt;=15,AK59&lt;=15,AD59&lt;0.6,N59&gt;20,U59=0,E59="是",F59&lt;&gt;"合格"),"有","无")</x:f>
        <x:v>有</x:v>
      </x:c>
      <x:c r="AO59" s="20" t="str">
        <x:f>IF(AL59="","",IF(AN59="有","存在红线或单项明显短板，建议重点关注并结合CGA/医生复核。",IF(AM59="整体功能较好","整体功能较好，建议维持运动并定期复测。",IF(AM59="轻度关注","存在部分功能短板，建议针对性训练与随访。",IF(AM59="中度关注","多项能力下降，建议进一步评估肌少症、衰弱或跌倒风险。","活动能力明显下降，建议临床评估与个体化干预。")))))</x:f>
      </x:c>
    </x:row>
    <x:row r="60">
      <x:c r="A60" s="20"/>
      <x:c r="B60" s="20"/>
      <x:c r="C60" s="20"/>
      <x:c r="D60" s="20"/>
      <x:c r="E60" s="20"/>
      <x:c r="F60" s="20"/>
      <x:c r="G60" s="30"/>
      <x:c r="H60" s="28" t="str">
        <x:f>IF(C60="男",G60/28,IF(C60="女",G60/18,""))</x:f>
      </x:c>
      <x:c r="I60" s="20" t="str">
        <x:f>IF(G60="","",IF(H60&gt;=1.1,18,IF(H60&gt;=1,15,IF(H60&gt;=0.85,11,IF(H60&gt;=0.7,7,3)))))</x:f>
      </x:c>
      <x:c r="J60" s="20"/>
      <x:c r="K60" s="20"/>
      <x:c r="L60" s="20"/>
      <x:c r="M60" s="20" t="str">
        <x:f>IF(I60="","",I60+J60+K60+L60)</x:f>
      </x:c>
      <x:c r="N60" s="30"/>
      <x:c r="O60" s="20" t="str">
        <x:f>IF(N60="","",IF(N60&lt;=10,18,IF(N60&lt;=12,15,IF(N60&lt;=15,10,IF(N60&lt;=20,5,2)))))</x:f>
      </x:c>
      <x:c r="P60" s="20"/>
      <x:c r="Q60" s="20"/>
      <x:c r="R60" s="20"/>
      <x:c r="S60" s="20"/>
      <x:c r="T60" s="20" t="str">
        <x:f>IF(O60="","",O60+P60+Q60+R60+S60)</x:f>
      </x:c>
      <x:c r="U60" s="20"/>
      <x:c r="V60" s="20"/>
      <x:c r="W60" s="30"/>
      <x:c r="X60" s="20" t="str">
        <x:f>IF(W60="","",IF(W60&lt;=10,3,IF(W60&lt;=15,2,IF(W60&lt;=20,1,0))))</x:f>
      </x:c>
      <x:c r="Y60" s="20"/>
      <x:c r="Z60" s="20"/>
      <x:c r="AA60" s="20"/>
      <x:c r="AB60" s="20"/>
      <x:c r="AC60" s="20" t="str">
        <x:f>IF(U60="","",U60+V60+X60+Y60+Z60+AA60+AB60)</x:f>
      </x:c>
      <x:c r="AD60" s="28"/>
      <x:c r="AE60" s="20" t="str">
        <x:f>IF(AD60="","",IF(AD60&gt;=1,18,IF(AD60&gt;=0.8,14,IF(AD60&gt;=0.6,9,4))))</x:f>
      </x:c>
      <x:c r="AF60" s="20"/>
      <x:c r="AG60" s="20"/>
      <x:c r="AH60" s="20"/>
      <x:c r="AI60" s="20"/>
      <x:c r="AJ60" s="20"/>
      <x:c r="AK60" s="20" t="str">
        <x:f>IF(AE60="","",AE60+AF60+AG60+AH60+AI60+AJ60)</x:f>
      </x:c>
      <x:c r="AL60" s="32" t="str">
        <x:f>IF(COUNT(M60,T60,AC60,AK60)=4,M60+T60+AC60+AK60,"")</x:f>
      </x:c>
      <x:c r="AM60" s="20" t="str">
        <x:f>IF(AL60="","",IF(AN60="有","重点关注",IF(AL60&gt;=80,"整体功能较好",IF(AL60&gt;=60,"轻度关注",IF(AL60&gt;=40,"中度关注","高度关注")))))</x:f>
      </x:c>
      <x:c r="AN60" s="20" t="str">
        <x:f>IF(OR(M60&lt;=15,T60&lt;=15,AC60&lt;=15,AK60&lt;=15,AD60&lt;0.6,N60&gt;20,U60=0,E60="是",F60&lt;&gt;"合格"),"有","无")</x:f>
        <x:v>有</x:v>
      </x:c>
      <x:c r="AO60" s="20" t="str">
        <x:f>IF(AL60="","",IF(AN60="有","存在红线或单项明显短板，建议重点关注并结合CGA/医生复核。",IF(AM60="整体功能较好","整体功能较好，建议维持运动并定期复测。",IF(AM60="轻度关注","存在部分功能短板，建议针对性训练与随访。",IF(AM60="中度关注","多项能力下降，建议进一步评估肌少症、衰弱或跌倒风险。","活动能力明显下降，建议临床评估与个体化干预。")))))</x:f>
      </x:c>
    </x:row>
    <x:row r="61">
      <x:c r="A61" s="20"/>
      <x:c r="B61" s="20"/>
      <x:c r="C61" s="20"/>
      <x:c r="D61" s="20"/>
      <x:c r="E61" s="20"/>
      <x:c r="F61" s="20"/>
      <x:c r="G61" s="30"/>
      <x:c r="H61" s="28" t="str">
        <x:f>IF(C61="男",G61/28,IF(C61="女",G61/18,""))</x:f>
      </x:c>
      <x:c r="I61" s="20" t="str">
        <x:f>IF(G61="","",IF(H61&gt;=1.1,18,IF(H61&gt;=1,15,IF(H61&gt;=0.85,11,IF(H61&gt;=0.7,7,3)))))</x:f>
      </x:c>
      <x:c r="J61" s="20"/>
      <x:c r="K61" s="20"/>
      <x:c r="L61" s="20"/>
      <x:c r="M61" s="20" t="str">
        <x:f>IF(I61="","",I61+J61+K61+L61)</x:f>
      </x:c>
      <x:c r="N61" s="30"/>
      <x:c r="O61" s="20" t="str">
        <x:f>IF(N61="","",IF(N61&lt;=10,18,IF(N61&lt;=12,15,IF(N61&lt;=15,10,IF(N61&lt;=20,5,2)))))</x:f>
      </x:c>
      <x:c r="P61" s="20"/>
      <x:c r="Q61" s="20"/>
      <x:c r="R61" s="20"/>
      <x:c r="S61" s="20"/>
      <x:c r="T61" s="20" t="str">
        <x:f>IF(O61="","",O61+P61+Q61+R61+S61)</x:f>
      </x:c>
      <x:c r="U61" s="20"/>
      <x:c r="V61" s="20"/>
      <x:c r="W61" s="30"/>
      <x:c r="X61" s="20" t="str">
        <x:f>IF(W61="","",IF(W61&lt;=10,3,IF(W61&lt;=15,2,IF(W61&lt;=20,1,0))))</x:f>
      </x:c>
      <x:c r="Y61" s="20"/>
      <x:c r="Z61" s="20"/>
      <x:c r="AA61" s="20"/>
      <x:c r="AB61" s="20"/>
      <x:c r="AC61" s="20" t="str">
        <x:f>IF(U61="","",U61+V61+X61+Y61+Z61+AA61+AB61)</x:f>
      </x:c>
      <x:c r="AD61" s="28"/>
      <x:c r="AE61" s="20" t="str">
        <x:f>IF(AD61="","",IF(AD61&gt;=1,18,IF(AD61&gt;=0.8,14,IF(AD61&gt;=0.6,9,4))))</x:f>
      </x:c>
      <x:c r="AF61" s="20"/>
      <x:c r="AG61" s="20"/>
      <x:c r="AH61" s="20"/>
      <x:c r="AI61" s="20"/>
      <x:c r="AJ61" s="20"/>
      <x:c r="AK61" s="20" t="str">
        <x:f>IF(AE61="","",AE61+AF61+AG61+AH61+AI61+AJ61)</x:f>
      </x:c>
      <x:c r="AL61" s="32" t="str">
        <x:f>IF(COUNT(M61,T61,AC61,AK61)=4,M61+T61+AC61+AK61,"")</x:f>
      </x:c>
      <x:c r="AM61" s="20" t="str">
        <x:f>IF(AL61="","",IF(AN61="有","重点关注",IF(AL61&gt;=80,"整体功能较好",IF(AL61&gt;=60,"轻度关注",IF(AL61&gt;=40,"中度关注","高度关注")))))</x:f>
      </x:c>
      <x:c r="AN61" s="20" t="str">
        <x:f>IF(OR(M61&lt;=15,T61&lt;=15,AC61&lt;=15,AK61&lt;=15,AD61&lt;0.6,N61&gt;20,U61=0,E61="是",F61&lt;&gt;"合格"),"有","无")</x:f>
        <x:v>有</x:v>
      </x:c>
      <x:c r="AO61" s="20" t="str">
        <x:f>IF(AL61="","",IF(AN61="有","存在红线或单项明显短板，建议重点关注并结合CGA/医生复核。",IF(AM61="整体功能较好","整体功能较好，建议维持运动并定期复测。",IF(AM61="轻度关注","存在部分功能短板，建议针对性训练与随访。",IF(AM61="中度关注","多项能力下降，建议进一步评估肌少症、衰弱或跌倒风险。","活动能力明显下降，建议临床评估与个体化干预。")))))</x:f>
      </x:c>
    </x:row>
    <x:row r="62">
      <x:c r="A62" s="20"/>
      <x:c r="B62" s="20"/>
      <x:c r="C62" s="20"/>
      <x:c r="D62" s="20"/>
      <x:c r="E62" s="20"/>
      <x:c r="F62" s="20"/>
      <x:c r="G62" s="30"/>
      <x:c r="H62" s="28" t="str">
        <x:f>IF(C62="男",G62/28,IF(C62="女",G62/18,""))</x:f>
      </x:c>
      <x:c r="I62" s="20" t="str">
        <x:f>IF(G62="","",IF(H62&gt;=1.1,18,IF(H62&gt;=1,15,IF(H62&gt;=0.85,11,IF(H62&gt;=0.7,7,3)))))</x:f>
      </x:c>
      <x:c r="J62" s="20"/>
      <x:c r="K62" s="20"/>
      <x:c r="L62" s="20"/>
      <x:c r="M62" s="20" t="str">
        <x:f>IF(I62="","",I62+J62+K62+L62)</x:f>
      </x:c>
      <x:c r="N62" s="30"/>
      <x:c r="O62" s="20" t="str">
        <x:f>IF(N62="","",IF(N62&lt;=10,18,IF(N62&lt;=12,15,IF(N62&lt;=15,10,IF(N62&lt;=20,5,2)))))</x:f>
      </x:c>
      <x:c r="P62" s="20"/>
      <x:c r="Q62" s="20"/>
      <x:c r="R62" s="20"/>
      <x:c r="S62" s="20"/>
      <x:c r="T62" s="20" t="str">
        <x:f>IF(O62="","",O62+P62+Q62+R62+S62)</x:f>
      </x:c>
      <x:c r="U62" s="20"/>
      <x:c r="V62" s="20"/>
      <x:c r="W62" s="30"/>
      <x:c r="X62" s="20" t="str">
        <x:f>IF(W62="","",IF(W62&lt;=10,3,IF(W62&lt;=15,2,IF(W62&lt;=20,1,0))))</x:f>
      </x:c>
      <x:c r="Y62" s="20"/>
      <x:c r="Z62" s="20"/>
      <x:c r="AA62" s="20"/>
      <x:c r="AB62" s="20"/>
      <x:c r="AC62" s="20" t="str">
        <x:f>IF(U62="","",U62+V62+X62+Y62+Z62+AA62+AB62)</x:f>
      </x:c>
      <x:c r="AD62" s="28"/>
      <x:c r="AE62" s="20" t="str">
        <x:f>IF(AD62="","",IF(AD62&gt;=1,18,IF(AD62&gt;=0.8,14,IF(AD62&gt;=0.6,9,4))))</x:f>
      </x:c>
      <x:c r="AF62" s="20"/>
      <x:c r="AG62" s="20"/>
      <x:c r="AH62" s="20"/>
      <x:c r="AI62" s="20"/>
      <x:c r="AJ62" s="20"/>
      <x:c r="AK62" s="20" t="str">
        <x:f>IF(AE62="","",AE62+AF62+AG62+AH62+AI62+AJ62)</x:f>
      </x:c>
      <x:c r="AL62" s="32" t="str">
        <x:f>IF(COUNT(M62,T62,AC62,AK62)=4,M62+T62+AC62+AK62,"")</x:f>
      </x:c>
      <x:c r="AM62" s="20" t="str">
        <x:f>IF(AL62="","",IF(AN62="有","重点关注",IF(AL62&gt;=80,"整体功能较好",IF(AL62&gt;=60,"轻度关注",IF(AL62&gt;=40,"中度关注","高度关注")))))</x:f>
      </x:c>
      <x:c r="AN62" s="20" t="str">
        <x:f>IF(OR(M62&lt;=15,T62&lt;=15,AC62&lt;=15,AK62&lt;=15,AD62&lt;0.6,N62&gt;20,U62=0,E62="是",F62&lt;&gt;"合格"),"有","无")</x:f>
        <x:v>有</x:v>
      </x:c>
      <x:c r="AO62" s="20" t="str">
        <x:f>IF(AL62="","",IF(AN62="有","存在红线或单项明显短板，建议重点关注并结合CGA/医生复核。",IF(AM62="整体功能较好","整体功能较好，建议维持运动并定期复测。",IF(AM62="轻度关注","存在部分功能短板，建议针对性训练与随访。",IF(AM62="中度关注","多项能力下降，建议进一步评估肌少症、衰弱或跌倒风险。","活动能力明显下降，建议临床评估与个体化干预。")))))</x:f>
      </x:c>
    </x:row>
    <x:row r="63">
      <x:c r="A63" s="20"/>
      <x:c r="B63" s="20"/>
      <x:c r="C63" s="20"/>
      <x:c r="D63" s="20"/>
      <x:c r="E63" s="20"/>
      <x:c r="F63" s="20"/>
      <x:c r="G63" s="30"/>
      <x:c r="H63" s="28" t="str">
        <x:f>IF(C63="男",G63/28,IF(C63="女",G63/18,""))</x:f>
      </x:c>
      <x:c r="I63" s="20" t="str">
        <x:f>IF(G63="","",IF(H63&gt;=1.1,18,IF(H63&gt;=1,15,IF(H63&gt;=0.85,11,IF(H63&gt;=0.7,7,3)))))</x:f>
      </x:c>
      <x:c r="J63" s="20"/>
      <x:c r="K63" s="20"/>
      <x:c r="L63" s="20"/>
      <x:c r="M63" s="20" t="str">
        <x:f>IF(I63="","",I63+J63+K63+L63)</x:f>
      </x:c>
      <x:c r="N63" s="30"/>
      <x:c r="O63" s="20" t="str">
        <x:f>IF(N63="","",IF(N63&lt;=10,18,IF(N63&lt;=12,15,IF(N63&lt;=15,10,IF(N63&lt;=20,5,2)))))</x:f>
      </x:c>
      <x:c r="P63" s="20"/>
      <x:c r="Q63" s="20"/>
      <x:c r="R63" s="20"/>
      <x:c r="S63" s="20"/>
      <x:c r="T63" s="20" t="str">
        <x:f>IF(O63="","",O63+P63+Q63+R63+S63)</x:f>
      </x:c>
      <x:c r="U63" s="20"/>
      <x:c r="V63" s="20"/>
      <x:c r="W63" s="30"/>
      <x:c r="X63" s="20" t="str">
        <x:f>IF(W63="","",IF(W63&lt;=10,3,IF(W63&lt;=15,2,IF(W63&lt;=20,1,0))))</x:f>
      </x:c>
      <x:c r="Y63" s="20"/>
      <x:c r="Z63" s="20"/>
      <x:c r="AA63" s="20"/>
      <x:c r="AB63" s="20"/>
      <x:c r="AC63" s="20" t="str">
        <x:f>IF(U63="","",U63+V63+X63+Y63+Z63+AA63+AB63)</x:f>
      </x:c>
      <x:c r="AD63" s="28"/>
      <x:c r="AE63" s="20" t="str">
        <x:f>IF(AD63="","",IF(AD63&gt;=1,18,IF(AD63&gt;=0.8,14,IF(AD63&gt;=0.6,9,4))))</x:f>
      </x:c>
      <x:c r="AF63" s="20"/>
      <x:c r="AG63" s="20"/>
      <x:c r="AH63" s="20"/>
      <x:c r="AI63" s="20"/>
      <x:c r="AJ63" s="20"/>
      <x:c r="AK63" s="20" t="str">
        <x:f>IF(AE63="","",AE63+AF63+AG63+AH63+AI63+AJ63)</x:f>
      </x:c>
      <x:c r="AL63" s="32" t="str">
        <x:f>IF(COUNT(M63,T63,AC63,AK63)=4,M63+T63+AC63+AK63,"")</x:f>
      </x:c>
      <x:c r="AM63" s="20" t="str">
        <x:f>IF(AL63="","",IF(AN63="有","重点关注",IF(AL63&gt;=80,"整体功能较好",IF(AL63&gt;=60,"轻度关注",IF(AL63&gt;=40,"中度关注","高度关注")))))</x:f>
      </x:c>
      <x:c r="AN63" s="20" t="str">
        <x:f>IF(OR(M63&lt;=15,T63&lt;=15,AC63&lt;=15,AK63&lt;=15,AD63&lt;0.6,N63&gt;20,U63=0,E63="是",F63&lt;&gt;"合格"),"有","无")</x:f>
        <x:v>有</x:v>
      </x:c>
      <x:c r="AO63" s="20" t="str">
        <x:f>IF(AL63="","",IF(AN63="有","存在红线或单项明显短板，建议重点关注并结合CGA/医生复核。",IF(AM63="整体功能较好","整体功能较好，建议维持运动并定期复测。",IF(AM63="轻度关注","存在部分功能短板，建议针对性训练与随访。",IF(AM63="中度关注","多项能力下降，建议进一步评估肌少症、衰弱或跌倒风险。","活动能力明显下降，建议临床评估与个体化干预。")))))</x:f>
      </x:c>
    </x:row>
    <x:row r="64">
      <x:c r="A64" s="20"/>
      <x:c r="B64" s="20"/>
      <x:c r="C64" s="20"/>
      <x:c r="D64" s="20"/>
      <x:c r="E64" s="20"/>
      <x:c r="F64" s="20"/>
      <x:c r="G64" s="30"/>
      <x:c r="H64" s="28" t="str">
        <x:f>IF(C64="男",G64/28,IF(C64="女",G64/18,""))</x:f>
      </x:c>
      <x:c r="I64" s="20" t="str">
        <x:f>IF(G64="","",IF(H64&gt;=1.1,18,IF(H64&gt;=1,15,IF(H64&gt;=0.85,11,IF(H64&gt;=0.7,7,3)))))</x:f>
      </x:c>
      <x:c r="J64" s="20"/>
      <x:c r="K64" s="20"/>
      <x:c r="L64" s="20"/>
      <x:c r="M64" s="20" t="str">
        <x:f>IF(I64="","",I64+J64+K64+L64)</x:f>
      </x:c>
      <x:c r="N64" s="30"/>
      <x:c r="O64" s="20" t="str">
        <x:f>IF(N64="","",IF(N64&lt;=10,18,IF(N64&lt;=12,15,IF(N64&lt;=15,10,IF(N64&lt;=20,5,2)))))</x:f>
      </x:c>
      <x:c r="P64" s="20"/>
      <x:c r="Q64" s="20"/>
      <x:c r="R64" s="20"/>
      <x:c r="S64" s="20"/>
      <x:c r="T64" s="20" t="str">
        <x:f>IF(O64="","",O64+P64+Q64+R64+S64)</x:f>
      </x:c>
      <x:c r="U64" s="20"/>
      <x:c r="V64" s="20"/>
      <x:c r="W64" s="30"/>
      <x:c r="X64" s="20" t="str">
        <x:f>IF(W64="","",IF(W64&lt;=10,3,IF(W64&lt;=15,2,IF(W64&lt;=20,1,0))))</x:f>
      </x:c>
      <x:c r="Y64" s="20"/>
      <x:c r="Z64" s="20"/>
      <x:c r="AA64" s="20"/>
      <x:c r="AB64" s="20"/>
      <x:c r="AC64" s="20" t="str">
        <x:f>IF(U64="","",U64+V64+X64+Y64+Z64+AA64+AB64)</x:f>
      </x:c>
      <x:c r="AD64" s="28"/>
      <x:c r="AE64" s="20" t="str">
        <x:f>IF(AD64="","",IF(AD64&gt;=1,18,IF(AD64&gt;=0.8,14,IF(AD64&gt;=0.6,9,4))))</x:f>
      </x:c>
      <x:c r="AF64" s="20"/>
      <x:c r="AG64" s="20"/>
      <x:c r="AH64" s="20"/>
      <x:c r="AI64" s="20"/>
      <x:c r="AJ64" s="20"/>
      <x:c r="AK64" s="20" t="str">
        <x:f>IF(AE64="","",AE64+AF64+AG64+AH64+AI64+AJ64)</x:f>
      </x:c>
      <x:c r="AL64" s="32" t="str">
        <x:f>IF(COUNT(M64,T64,AC64,AK64)=4,M64+T64+AC64+AK64,"")</x:f>
      </x:c>
      <x:c r="AM64" s="20" t="str">
        <x:f>IF(AL64="","",IF(AN64="有","重点关注",IF(AL64&gt;=80,"整体功能较好",IF(AL64&gt;=60,"轻度关注",IF(AL64&gt;=40,"中度关注","高度关注")))))</x:f>
      </x:c>
      <x:c r="AN64" s="20" t="str">
        <x:f>IF(OR(M64&lt;=15,T64&lt;=15,AC64&lt;=15,AK64&lt;=15,AD64&lt;0.6,N64&gt;20,U64=0,E64="是",F64&lt;&gt;"合格"),"有","无")</x:f>
        <x:v>有</x:v>
      </x:c>
      <x:c r="AO64" s="20" t="str">
        <x:f>IF(AL64="","",IF(AN64="有","存在红线或单项明显短板，建议重点关注并结合CGA/医生复核。",IF(AM64="整体功能较好","整体功能较好，建议维持运动并定期复测。",IF(AM64="轻度关注","存在部分功能短板，建议针对性训练与随访。",IF(AM64="中度关注","多项能力下降，建议进一步评估肌少症、衰弱或跌倒风险。","活动能力明显下降，建议临床评估与个体化干预。")))))</x:f>
      </x:c>
    </x:row>
    <x:row r="65">
      <x:c r="A65" s="20"/>
      <x:c r="B65" s="20"/>
      <x:c r="C65" s="20"/>
      <x:c r="D65" s="20"/>
      <x:c r="E65" s="20"/>
      <x:c r="F65" s="20"/>
      <x:c r="G65" s="30"/>
      <x:c r="H65" s="28" t="str">
        <x:f>IF(C65="男",G65/28,IF(C65="女",G65/18,""))</x:f>
      </x:c>
      <x:c r="I65" s="20" t="str">
        <x:f>IF(G65="","",IF(H65&gt;=1.1,18,IF(H65&gt;=1,15,IF(H65&gt;=0.85,11,IF(H65&gt;=0.7,7,3)))))</x:f>
      </x:c>
      <x:c r="J65" s="20"/>
      <x:c r="K65" s="20"/>
      <x:c r="L65" s="20"/>
      <x:c r="M65" s="20" t="str">
        <x:f>IF(I65="","",I65+J65+K65+L65)</x:f>
      </x:c>
      <x:c r="N65" s="30"/>
      <x:c r="O65" s="20" t="str">
        <x:f>IF(N65="","",IF(N65&lt;=10,18,IF(N65&lt;=12,15,IF(N65&lt;=15,10,IF(N65&lt;=20,5,2)))))</x:f>
      </x:c>
      <x:c r="P65" s="20"/>
      <x:c r="Q65" s="20"/>
      <x:c r="R65" s="20"/>
      <x:c r="S65" s="20"/>
      <x:c r="T65" s="20" t="str">
        <x:f>IF(O65="","",O65+P65+Q65+R65+S65)</x:f>
      </x:c>
      <x:c r="U65" s="20"/>
      <x:c r="V65" s="20"/>
      <x:c r="W65" s="30"/>
      <x:c r="X65" s="20" t="str">
        <x:f>IF(W65="","",IF(W65&lt;=10,3,IF(W65&lt;=15,2,IF(W65&lt;=20,1,0))))</x:f>
      </x:c>
      <x:c r="Y65" s="20"/>
      <x:c r="Z65" s="20"/>
      <x:c r="AA65" s="20"/>
      <x:c r="AB65" s="20"/>
      <x:c r="AC65" s="20" t="str">
        <x:f>IF(U65="","",U65+V65+X65+Y65+Z65+AA65+AB65)</x:f>
      </x:c>
      <x:c r="AD65" s="28"/>
      <x:c r="AE65" s="20" t="str">
        <x:f>IF(AD65="","",IF(AD65&gt;=1,18,IF(AD65&gt;=0.8,14,IF(AD65&gt;=0.6,9,4))))</x:f>
      </x:c>
      <x:c r="AF65" s="20"/>
      <x:c r="AG65" s="20"/>
      <x:c r="AH65" s="20"/>
      <x:c r="AI65" s="20"/>
      <x:c r="AJ65" s="20"/>
      <x:c r="AK65" s="20" t="str">
        <x:f>IF(AE65="","",AE65+AF65+AG65+AH65+AI65+AJ65)</x:f>
      </x:c>
      <x:c r="AL65" s="32" t="str">
        <x:f>IF(COUNT(M65,T65,AC65,AK65)=4,M65+T65+AC65+AK65,"")</x:f>
      </x:c>
      <x:c r="AM65" s="20" t="str">
        <x:f>IF(AL65="","",IF(AN65="有","重点关注",IF(AL65&gt;=80,"整体功能较好",IF(AL65&gt;=60,"轻度关注",IF(AL65&gt;=40,"中度关注","高度关注")))))</x:f>
      </x:c>
      <x:c r="AN65" s="20" t="str">
        <x:f>IF(OR(M65&lt;=15,T65&lt;=15,AC65&lt;=15,AK65&lt;=15,AD65&lt;0.6,N65&gt;20,U65=0,E65="是",F65&lt;&gt;"合格"),"有","无")</x:f>
        <x:v>有</x:v>
      </x:c>
      <x:c r="AO65" s="20" t="str">
        <x:f>IF(AL65="","",IF(AN65="有","存在红线或单项明显短板，建议重点关注并结合CGA/医生复核。",IF(AM65="整体功能较好","整体功能较好，建议维持运动并定期复测。",IF(AM65="轻度关注","存在部分功能短板，建议针对性训练与随访。",IF(AM65="中度关注","多项能力下降，建议进一步评估肌少症、衰弱或跌倒风险。","活动能力明显下降，建议临床评估与个体化干预。")))))</x:f>
      </x:c>
    </x:row>
    <x:row r="66">
      <x:c r="A66" s="20"/>
      <x:c r="B66" s="20"/>
      <x:c r="C66" s="20"/>
      <x:c r="D66" s="20"/>
      <x:c r="E66" s="20"/>
      <x:c r="F66" s="20"/>
      <x:c r="G66" s="30"/>
      <x:c r="H66" s="28" t="str">
        <x:f>IF(C66="男",G66/28,IF(C66="女",G66/18,""))</x:f>
      </x:c>
      <x:c r="I66" s="20" t="str">
        <x:f>IF(G66="","",IF(H66&gt;=1.1,18,IF(H66&gt;=1,15,IF(H66&gt;=0.85,11,IF(H66&gt;=0.7,7,3)))))</x:f>
      </x:c>
      <x:c r="J66" s="20"/>
      <x:c r="K66" s="20"/>
      <x:c r="L66" s="20"/>
      <x:c r="M66" s="20" t="str">
        <x:f>IF(I66="","",I66+J66+K66+L66)</x:f>
      </x:c>
      <x:c r="N66" s="30"/>
      <x:c r="O66" s="20" t="str">
        <x:f>IF(N66="","",IF(N66&lt;=10,18,IF(N66&lt;=12,15,IF(N66&lt;=15,10,IF(N66&lt;=20,5,2)))))</x:f>
      </x:c>
      <x:c r="P66" s="20"/>
      <x:c r="Q66" s="20"/>
      <x:c r="R66" s="20"/>
      <x:c r="S66" s="20"/>
      <x:c r="T66" s="20" t="str">
        <x:f>IF(O66="","",O66+P66+Q66+R66+S66)</x:f>
      </x:c>
      <x:c r="U66" s="20"/>
      <x:c r="V66" s="20"/>
      <x:c r="W66" s="30"/>
      <x:c r="X66" s="20" t="str">
        <x:f>IF(W66="","",IF(W66&lt;=10,3,IF(W66&lt;=15,2,IF(W66&lt;=20,1,0))))</x:f>
      </x:c>
      <x:c r="Y66" s="20"/>
      <x:c r="Z66" s="20"/>
      <x:c r="AA66" s="20"/>
      <x:c r="AB66" s="20"/>
      <x:c r="AC66" s="20" t="str">
        <x:f>IF(U66="","",U66+V66+X66+Y66+Z66+AA66+AB66)</x:f>
      </x:c>
      <x:c r="AD66" s="28"/>
      <x:c r="AE66" s="20" t="str">
        <x:f>IF(AD66="","",IF(AD66&gt;=1,18,IF(AD66&gt;=0.8,14,IF(AD66&gt;=0.6,9,4))))</x:f>
      </x:c>
      <x:c r="AF66" s="20"/>
      <x:c r="AG66" s="20"/>
      <x:c r="AH66" s="20"/>
      <x:c r="AI66" s="20"/>
      <x:c r="AJ66" s="20"/>
      <x:c r="AK66" s="20" t="str">
        <x:f>IF(AE66="","",AE66+AF66+AG66+AH66+AI66+AJ66)</x:f>
      </x:c>
      <x:c r="AL66" s="32" t="str">
        <x:f>IF(COUNT(M66,T66,AC66,AK66)=4,M66+T66+AC66+AK66,"")</x:f>
      </x:c>
      <x:c r="AM66" s="20" t="str">
        <x:f>IF(AL66="","",IF(AN66="有","重点关注",IF(AL66&gt;=80,"整体功能较好",IF(AL66&gt;=60,"轻度关注",IF(AL66&gt;=40,"中度关注","高度关注")))))</x:f>
      </x:c>
      <x:c r="AN66" s="20" t="str">
        <x:f>IF(OR(M66&lt;=15,T66&lt;=15,AC66&lt;=15,AK66&lt;=15,AD66&lt;0.6,N66&gt;20,U66=0,E66="是",F66&lt;&gt;"合格"),"有","无")</x:f>
        <x:v>有</x:v>
      </x:c>
      <x:c r="AO66" s="20" t="str">
        <x:f>IF(AL66="","",IF(AN66="有","存在红线或单项明显短板，建议重点关注并结合CGA/医生复核。",IF(AM66="整体功能较好","整体功能较好，建议维持运动并定期复测。",IF(AM66="轻度关注","存在部分功能短板，建议针对性训练与随访。",IF(AM66="中度关注","多项能力下降，建议进一步评估肌少症、衰弱或跌倒风险。","活动能力明显下降，建议临床评估与个体化干预。")))))</x:f>
      </x:c>
    </x:row>
    <x:row r="67">
      <x:c r="A67" s="20"/>
      <x:c r="B67" s="20"/>
      <x:c r="C67" s="20"/>
      <x:c r="D67" s="20"/>
      <x:c r="E67" s="20"/>
      <x:c r="F67" s="20"/>
      <x:c r="G67" s="30"/>
      <x:c r="H67" s="28" t="str">
        <x:f>IF(C67="男",G67/28,IF(C67="女",G67/18,""))</x:f>
      </x:c>
      <x:c r="I67" s="20" t="str">
        <x:f>IF(G67="","",IF(H67&gt;=1.1,18,IF(H67&gt;=1,15,IF(H67&gt;=0.85,11,IF(H67&gt;=0.7,7,3)))))</x:f>
      </x:c>
      <x:c r="J67" s="20"/>
      <x:c r="K67" s="20"/>
      <x:c r="L67" s="20"/>
      <x:c r="M67" s="20" t="str">
        <x:f>IF(I67="","",I67+J67+K67+L67)</x:f>
      </x:c>
      <x:c r="N67" s="30"/>
      <x:c r="O67" s="20" t="str">
        <x:f>IF(N67="","",IF(N67&lt;=10,18,IF(N67&lt;=12,15,IF(N67&lt;=15,10,IF(N67&lt;=20,5,2)))))</x:f>
      </x:c>
      <x:c r="P67" s="20"/>
      <x:c r="Q67" s="20"/>
      <x:c r="R67" s="20"/>
      <x:c r="S67" s="20"/>
      <x:c r="T67" s="20" t="str">
        <x:f>IF(O67="","",O67+P67+Q67+R67+S67)</x:f>
      </x:c>
      <x:c r="U67" s="20"/>
      <x:c r="V67" s="20"/>
      <x:c r="W67" s="30"/>
      <x:c r="X67" s="20" t="str">
        <x:f>IF(W67="","",IF(W67&lt;=10,3,IF(W67&lt;=15,2,IF(W67&lt;=20,1,0))))</x:f>
      </x:c>
      <x:c r="Y67" s="20"/>
      <x:c r="Z67" s="20"/>
      <x:c r="AA67" s="20"/>
      <x:c r="AB67" s="20"/>
      <x:c r="AC67" s="20" t="str">
        <x:f>IF(U67="","",U67+V67+X67+Y67+Z67+AA67+AB67)</x:f>
      </x:c>
      <x:c r="AD67" s="28"/>
      <x:c r="AE67" s="20" t="str">
        <x:f>IF(AD67="","",IF(AD67&gt;=1,18,IF(AD67&gt;=0.8,14,IF(AD67&gt;=0.6,9,4))))</x:f>
      </x:c>
      <x:c r="AF67" s="20"/>
      <x:c r="AG67" s="20"/>
      <x:c r="AH67" s="20"/>
      <x:c r="AI67" s="20"/>
      <x:c r="AJ67" s="20"/>
      <x:c r="AK67" s="20" t="str">
        <x:f>IF(AE67="","",AE67+AF67+AG67+AH67+AI67+AJ67)</x:f>
      </x:c>
      <x:c r="AL67" s="32" t="str">
        <x:f>IF(COUNT(M67,T67,AC67,AK67)=4,M67+T67+AC67+AK67,"")</x:f>
      </x:c>
      <x:c r="AM67" s="20" t="str">
        <x:f>IF(AL67="","",IF(AN67="有","重点关注",IF(AL67&gt;=80,"整体功能较好",IF(AL67&gt;=60,"轻度关注",IF(AL67&gt;=40,"中度关注","高度关注")))))</x:f>
      </x:c>
      <x:c r="AN67" s="20" t="str">
        <x:f>IF(OR(M67&lt;=15,T67&lt;=15,AC67&lt;=15,AK67&lt;=15,AD67&lt;0.6,N67&gt;20,U67=0,E67="是",F67&lt;&gt;"合格"),"有","无")</x:f>
        <x:v>有</x:v>
      </x:c>
      <x:c r="AO67" s="20" t="str">
        <x:f>IF(AL67="","",IF(AN67="有","存在红线或单项明显短板，建议重点关注并结合CGA/医生复核。",IF(AM67="整体功能较好","整体功能较好，建议维持运动并定期复测。",IF(AM67="轻度关注","存在部分功能短板，建议针对性训练与随访。",IF(AM67="中度关注","多项能力下降，建议进一步评估肌少症、衰弱或跌倒风险。","活动能力明显下降，建议临床评估与个体化干预。")))))</x:f>
      </x:c>
    </x:row>
    <x:row r="68">
      <x:c r="A68" s="20"/>
      <x:c r="B68" s="20"/>
      <x:c r="C68" s="20"/>
      <x:c r="D68" s="20"/>
      <x:c r="E68" s="20"/>
      <x:c r="F68" s="20"/>
      <x:c r="G68" s="30"/>
      <x:c r="H68" s="28" t="str">
        <x:f>IF(C68="男",G68/28,IF(C68="女",G68/18,""))</x:f>
      </x:c>
      <x:c r="I68" s="20" t="str">
        <x:f>IF(G68="","",IF(H68&gt;=1.1,18,IF(H68&gt;=1,15,IF(H68&gt;=0.85,11,IF(H68&gt;=0.7,7,3)))))</x:f>
      </x:c>
      <x:c r="J68" s="20"/>
      <x:c r="K68" s="20"/>
      <x:c r="L68" s="20"/>
      <x:c r="M68" s="20" t="str">
        <x:f>IF(I68="","",I68+J68+K68+L68)</x:f>
      </x:c>
      <x:c r="N68" s="30"/>
      <x:c r="O68" s="20" t="str">
        <x:f>IF(N68="","",IF(N68&lt;=10,18,IF(N68&lt;=12,15,IF(N68&lt;=15,10,IF(N68&lt;=20,5,2)))))</x:f>
      </x:c>
      <x:c r="P68" s="20"/>
      <x:c r="Q68" s="20"/>
      <x:c r="R68" s="20"/>
      <x:c r="S68" s="20"/>
      <x:c r="T68" s="20" t="str">
        <x:f>IF(O68="","",O68+P68+Q68+R68+S68)</x:f>
      </x:c>
      <x:c r="U68" s="20"/>
      <x:c r="V68" s="20"/>
      <x:c r="W68" s="30"/>
      <x:c r="X68" s="20" t="str">
        <x:f>IF(W68="","",IF(W68&lt;=10,3,IF(W68&lt;=15,2,IF(W68&lt;=20,1,0))))</x:f>
      </x:c>
      <x:c r="Y68" s="20"/>
      <x:c r="Z68" s="20"/>
      <x:c r="AA68" s="20"/>
      <x:c r="AB68" s="20"/>
      <x:c r="AC68" s="20" t="str">
        <x:f>IF(U68="","",U68+V68+X68+Y68+Z68+AA68+AB68)</x:f>
      </x:c>
      <x:c r="AD68" s="28"/>
      <x:c r="AE68" s="20" t="str">
        <x:f>IF(AD68="","",IF(AD68&gt;=1,18,IF(AD68&gt;=0.8,14,IF(AD68&gt;=0.6,9,4))))</x:f>
      </x:c>
      <x:c r="AF68" s="20"/>
      <x:c r="AG68" s="20"/>
      <x:c r="AH68" s="20"/>
      <x:c r="AI68" s="20"/>
      <x:c r="AJ68" s="20"/>
      <x:c r="AK68" s="20" t="str">
        <x:f>IF(AE68="","",AE68+AF68+AG68+AH68+AI68+AJ68)</x:f>
      </x:c>
      <x:c r="AL68" s="32" t="str">
        <x:f>IF(COUNT(M68,T68,AC68,AK68)=4,M68+T68+AC68+AK68,"")</x:f>
      </x:c>
      <x:c r="AM68" s="20" t="str">
        <x:f>IF(AL68="","",IF(AN68="有","重点关注",IF(AL68&gt;=80,"整体功能较好",IF(AL68&gt;=60,"轻度关注",IF(AL68&gt;=40,"中度关注","高度关注")))))</x:f>
      </x:c>
      <x:c r="AN68" s="20" t="str">
        <x:f>IF(OR(M68&lt;=15,T68&lt;=15,AC68&lt;=15,AK68&lt;=15,AD68&lt;0.6,N68&gt;20,U68=0,E68="是",F68&lt;&gt;"合格"),"有","无")</x:f>
        <x:v>有</x:v>
      </x:c>
      <x:c r="AO68" s="20" t="str">
        <x:f>IF(AL68="","",IF(AN68="有","存在红线或单项明显短板，建议重点关注并结合CGA/医生复核。",IF(AM68="整体功能较好","整体功能较好，建议维持运动并定期复测。",IF(AM68="轻度关注","存在部分功能短板，建议针对性训练与随访。",IF(AM68="中度关注","多项能力下降，建议进一步评估肌少症、衰弱或跌倒风险。","活动能力明显下降，建议临床评估与个体化干预。")))))</x:f>
      </x:c>
    </x:row>
    <x:row r="69">
      <x:c r="A69" s="20"/>
      <x:c r="B69" s="20"/>
      <x:c r="C69" s="20"/>
      <x:c r="D69" s="20"/>
      <x:c r="E69" s="20"/>
      <x:c r="F69" s="20"/>
      <x:c r="G69" s="30"/>
      <x:c r="H69" s="28" t="str">
        <x:f>IF(C69="男",G69/28,IF(C69="女",G69/18,""))</x:f>
      </x:c>
      <x:c r="I69" s="20" t="str">
        <x:f>IF(G69="","",IF(H69&gt;=1.1,18,IF(H69&gt;=1,15,IF(H69&gt;=0.85,11,IF(H69&gt;=0.7,7,3)))))</x:f>
      </x:c>
      <x:c r="J69" s="20"/>
      <x:c r="K69" s="20"/>
      <x:c r="L69" s="20"/>
      <x:c r="M69" s="20" t="str">
        <x:f>IF(I69="","",I69+J69+K69+L69)</x:f>
      </x:c>
      <x:c r="N69" s="30"/>
      <x:c r="O69" s="20" t="str">
        <x:f>IF(N69="","",IF(N69&lt;=10,18,IF(N69&lt;=12,15,IF(N69&lt;=15,10,IF(N69&lt;=20,5,2)))))</x:f>
      </x:c>
      <x:c r="P69" s="20"/>
      <x:c r="Q69" s="20"/>
      <x:c r="R69" s="20"/>
      <x:c r="S69" s="20"/>
      <x:c r="T69" s="20" t="str">
        <x:f>IF(O69="","",O69+P69+Q69+R69+S69)</x:f>
      </x:c>
      <x:c r="U69" s="20"/>
      <x:c r="V69" s="20"/>
      <x:c r="W69" s="30"/>
      <x:c r="X69" s="20" t="str">
        <x:f>IF(W69="","",IF(W69&lt;=10,3,IF(W69&lt;=15,2,IF(W69&lt;=20,1,0))))</x:f>
      </x:c>
      <x:c r="Y69" s="20"/>
      <x:c r="Z69" s="20"/>
      <x:c r="AA69" s="20"/>
      <x:c r="AB69" s="20"/>
      <x:c r="AC69" s="20" t="str">
        <x:f>IF(U69="","",U69+V69+X69+Y69+Z69+AA69+AB69)</x:f>
      </x:c>
      <x:c r="AD69" s="28"/>
      <x:c r="AE69" s="20" t="str">
        <x:f>IF(AD69="","",IF(AD69&gt;=1,18,IF(AD69&gt;=0.8,14,IF(AD69&gt;=0.6,9,4))))</x:f>
      </x:c>
      <x:c r="AF69" s="20"/>
      <x:c r="AG69" s="20"/>
      <x:c r="AH69" s="20"/>
      <x:c r="AI69" s="20"/>
      <x:c r="AJ69" s="20"/>
      <x:c r="AK69" s="20" t="str">
        <x:f>IF(AE69="","",AE69+AF69+AG69+AH69+AI69+AJ69)</x:f>
      </x:c>
      <x:c r="AL69" s="32" t="str">
        <x:f>IF(COUNT(M69,T69,AC69,AK69)=4,M69+T69+AC69+AK69,"")</x:f>
      </x:c>
      <x:c r="AM69" s="20" t="str">
        <x:f>IF(AL69="","",IF(AN69="有","重点关注",IF(AL69&gt;=80,"整体功能较好",IF(AL69&gt;=60,"轻度关注",IF(AL69&gt;=40,"中度关注","高度关注")))))</x:f>
      </x:c>
      <x:c r="AN69" s="20" t="str">
        <x:f>IF(OR(M69&lt;=15,T69&lt;=15,AC69&lt;=15,AK69&lt;=15,AD69&lt;0.6,N69&gt;20,U69=0,E69="是",F69&lt;&gt;"合格"),"有","无")</x:f>
        <x:v>有</x:v>
      </x:c>
      <x:c r="AO69" s="20" t="str">
        <x:f>IF(AL69="","",IF(AN69="有","存在红线或单项明显短板，建议重点关注并结合CGA/医生复核。",IF(AM69="整体功能较好","整体功能较好，建议维持运动并定期复测。",IF(AM69="轻度关注","存在部分功能短板，建议针对性训练与随访。",IF(AM69="中度关注","多项能力下降，建议进一步评估肌少症、衰弱或跌倒风险。","活动能力明显下降，建议临床评估与个体化干预。")))))</x:f>
      </x:c>
    </x:row>
    <x:row r="70">
      <x:c r="A70" s="20"/>
      <x:c r="B70" s="20"/>
      <x:c r="C70" s="20"/>
      <x:c r="D70" s="20"/>
      <x:c r="E70" s="20"/>
      <x:c r="F70" s="20"/>
      <x:c r="G70" s="30"/>
      <x:c r="H70" s="28" t="str">
        <x:f>IF(C70="男",G70/28,IF(C70="女",G70/18,""))</x:f>
      </x:c>
      <x:c r="I70" s="20" t="str">
        <x:f>IF(G70="","",IF(H70&gt;=1.1,18,IF(H70&gt;=1,15,IF(H70&gt;=0.85,11,IF(H70&gt;=0.7,7,3)))))</x:f>
      </x:c>
      <x:c r="J70" s="20"/>
      <x:c r="K70" s="20"/>
      <x:c r="L70" s="20"/>
      <x:c r="M70" s="20" t="str">
        <x:f>IF(I70="","",I70+J70+K70+L70)</x:f>
      </x:c>
      <x:c r="N70" s="30"/>
      <x:c r="O70" s="20" t="str">
        <x:f>IF(N70="","",IF(N70&lt;=10,18,IF(N70&lt;=12,15,IF(N70&lt;=15,10,IF(N70&lt;=20,5,2)))))</x:f>
      </x:c>
      <x:c r="P70" s="20"/>
      <x:c r="Q70" s="20"/>
      <x:c r="R70" s="20"/>
      <x:c r="S70" s="20"/>
      <x:c r="T70" s="20" t="str">
        <x:f>IF(O70="","",O70+P70+Q70+R70+S70)</x:f>
      </x:c>
      <x:c r="U70" s="20"/>
      <x:c r="V70" s="20"/>
      <x:c r="W70" s="30"/>
      <x:c r="X70" s="20" t="str">
        <x:f>IF(W70="","",IF(W70&lt;=10,3,IF(W70&lt;=15,2,IF(W70&lt;=20,1,0))))</x:f>
      </x:c>
      <x:c r="Y70" s="20"/>
      <x:c r="Z70" s="20"/>
      <x:c r="AA70" s="20"/>
      <x:c r="AB70" s="20"/>
      <x:c r="AC70" s="20" t="str">
        <x:f>IF(U70="","",U70+V70+X70+Y70+Z70+AA70+AB70)</x:f>
      </x:c>
      <x:c r="AD70" s="28"/>
      <x:c r="AE70" s="20" t="str">
        <x:f>IF(AD70="","",IF(AD70&gt;=1,18,IF(AD70&gt;=0.8,14,IF(AD70&gt;=0.6,9,4))))</x:f>
      </x:c>
      <x:c r="AF70" s="20"/>
      <x:c r="AG70" s="20"/>
      <x:c r="AH70" s="20"/>
      <x:c r="AI70" s="20"/>
      <x:c r="AJ70" s="20"/>
      <x:c r="AK70" s="20" t="str">
        <x:f>IF(AE70="","",AE70+AF70+AG70+AH70+AI70+AJ70)</x:f>
      </x:c>
      <x:c r="AL70" s="32" t="str">
        <x:f>IF(COUNT(M70,T70,AC70,AK70)=4,M70+T70+AC70+AK70,"")</x:f>
      </x:c>
      <x:c r="AM70" s="20" t="str">
        <x:f>IF(AL70="","",IF(AN70="有","重点关注",IF(AL70&gt;=80,"整体功能较好",IF(AL70&gt;=60,"轻度关注",IF(AL70&gt;=40,"中度关注","高度关注")))))</x:f>
      </x:c>
      <x:c r="AN70" s="20" t="str">
        <x:f>IF(OR(M70&lt;=15,T70&lt;=15,AC70&lt;=15,AK70&lt;=15,AD70&lt;0.6,N70&gt;20,U70=0,E70="是",F70&lt;&gt;"合格"),"有","无")</x:f>
        <x:v>有</x:v>
      </x:c>
      <x:c r="AO70" s="20" t="str">
        <x:f>IF(AL70="","",IF(AN70="有","存在红线或单项明显短板，建议重点关注并结合CGA/医生复核。",IF(AM70="整体功能较好","整体功能较好，建议维持运动并定期复测。",IF(AM70="轻度关注","存在部分功能短板，建议针对性训练与随访。",IF(AM70="中度关注","多项能力下降，建议进一步评估肌少症、衰弱或跌倒风险。","活动能力明显下降，建议临床评估与个体化干预。")))))</x:f>
      </x:c>
    </x:row>
    <x:row r="71">
      <x:c r="A71" s="20"/>
      <x:c r="B71" s="20"/>
      <x:c r="C71" s="20"/>
      <x:c r="D71" s="20"/>
      <x:c r="E71" s="20"/>
      <x:c r="F71" s="20"/>
      <x:c r="G71" s="30"/>
      <x:c r="H71" s="28" t="str">
        <x:f>IF(C71="男",G71/28,IF(C71="女",G71/18,""))</x:f>
      </x:c>
      <x:c r="I71" s="20" t="str">
        <x:f>IF(G71="","",IF(H71&gt;=1.1,18,IF(H71&gt;=1,15,IF(H71&gt;=0.85,11,IF(H71&gt;=0.7,7,3)))))</x:f>
      </x:c>
      <x:c r="J71" s="20"/>
      <x:c r="K71" s="20"/>
      <x:c r="L71" s="20"/>
      <x:c r="M71" s="20" t="str">
        <x:f>IF(I71="","",I71+J71+K71+L71)</x:f>
      </x:c>
      <x:c r="N71" s="30"/>
      <x:c r="O71" s="20" t="str">
        <x:f>IF(N71="","",IF(N71&lt;=10,18,IF(N71&lt;=12,15,IF(N71&lt;=15,10,IF(N71&lt;=20,5,2)))))</x:f>
      </x:c>
      <x:c r="P71" s="20"/>
      <x:c r="Q71" s="20"/>
      <x:c r="R71" s="20"/>
      <x:c r="S71" s="20"/>
      <x:c r="T71" s="20" t="str">
        <x:f>IF(O71="","",O71+P71+Q71+R71+S71)</x:f>
      </x:c>
      <x:c r="U71" s="20"/>
      <x:c r="V71" s="20"/>
      <x:c r="W71" s="30"/>
      <x:c r="X71" s="20" t="str">
        <x:f>IF(W71="","",IF(W71&lt;=10,3,IF(W71&lt;=15,2,IF(W71&lt;=20,1,0))))</x:f>
      </x:c>
      <x:c r="Y71" s="20"/>
      <x:c r="Z71" s="20"/>
      <x:c r="AA71" s="20"/>
      <x:c r="AB71" s="20"/>
      <x:c r="AC71" s="20" t="str">
        <x:f>IF(U71="","",U71+V71+X71+Y71+Z71+AA71+AB71)</x:f>
      </x:c>
      <x:c r="AD71" s="28"/>
      <x:c r="AE71" s="20" t="str">
        <x:f>IF(AD71="","",IF(AD71&gt;=1,18,IF(AD71&gt;=0.8,14,IF(AD71&gt;=0.6,9,4))))</x:f>
      </x:c>
      <x:c r="AF71" s="20"/>
      <x:c r="AG71" s="20"/>
      <x:c r="AH71" s="20"/>
      <x:c r="AI71" s="20"/>
      <x:c r="AJ71" s="20"/>
      <x:c r="AK71" s="20" t="str">
        <x:f>IF(AE71="","",AE71+AF71+AG71+AH71+AI71+AJ71)</x:f>
      </x:c>
      <x:c r="AL71" s="32" t="str">
        <x:f>IF(COUNT(M71,T71,AC71,AK71)=4,M71+T71+AC71+AK71,"")</x:f>
      </x:c>
      <x:c r="AM71" s="20" t="str">
        <x:f>IF(AL71="","",IF(AN71="有","重点关注",IF(AL71&gt;=80,"整体功能较好",IF(AL71&gt;=60,"轻度关注",IF(AL71&gt;=40,"中度关注","高度关注")))))</x:f>
      </x:c>
      <x:c r="AN71" s="20" t="str">
        <x:f>IF(OR(M71&lt;=15,T71&lt;=15,AC71&lt;=15,AK71&lt;=15,AD71&lt;0.6,N71&gt;20,U71=0,E71="是",F71&lt;&gt;"合格"),"有","无")</x:f>
        <x:v>有</x:v>
      </x:c>
      <x:c r="AO71" s="20" t="str">
        <x:f>IF(AL71="","",IF(AN71="有","存在红线或单项明显短板，建议重点关注并结合CGA/医生复核。",IF(AM71="整体功能较好","整体功能较好，建议维持运动并定期复测。",IF(AM71="轻度关注","存在部分功能短板，建议针对性训练与随访。",IF(AM71="中度关注","多项能力下降，建议进一步评估肌少症、衰弱或跌倒风险。","活动能力明显下降，建议临床评估与个体化干预。")))))</x:f>
      </x:c>
    </x:row>
    <x:row r="72">
      <x:c r="A72" s="20"/>
      <x:c r="B72" s="20"/>
      <x:c r="C72" s="20"/>
      <x:c r="D72" s="20"/>
      <x:c r="E72" s="20"/>
      <x:c r="F72" s="20"/>
      <x:c r="G72" s="30"/>
      <x:c r="H72" s="28" t="str">
        <x:f>IF(C72="男",G72/28,IF(C72="女",G72/18,""))</x:f>
      </x:c>
      <x:c r="I72" s="20" t="str">
        <x:f>IF(G72="","",IF(H72&gt;=1.1,18,IF(H72&gt;=1,15,IF(H72&gt;=0.85,11,IF(H72&gt;=0.7,7,3)))))</x:f>
      </x:c>
      <x:c r="J72" s="20"/>
      <x:c r="K72" s="20"/>
      <x:c r="L72" s="20"/>
      <x:c r="M72" s="20" t="str">
        <x:f>IF(I72="","",I72+J72+K72+L72)</x:f>
      </x:c>
      <x:c r="N72" s="30"/>
      <x:c r="O72" s="20" t="str">
        <x:f>IF(N72="","",IF(N72&lt;=10,18,IF(N72&lt;=12,15,IF(N72&lt;=15,10,IF(N72&lt;=20,5,2)))))</x:f>
      </x:c>
      <x:c r="P72" s="20"/>
      <x:c r="Q72" s="20"/>
      <x:c r="R72" s="20"/>
      <x:c r="S72" s="20"/>
      <x:c r="T72" s="20" t="str">
        <x:f>IF(O72="","",O72+P72+Q72+R72+S72)</x:f>
      </x:c>
      <x:c r="U72" s="20"/>
      <x:c r="V72" s="20"/>
      <x:c r="W72" s="30"/>
      <x:c r="X72" s="20" t="str">
        <x:f>IF(W72="","",IF(W72&lt;=10,3,IF(W72&lt;=15,2,IF(W72&lt;=20,1,0))))</x:f>
      </x:c>
      <x:c r="Y72" s="20"/>
      <x:c r="Z72" s="20"/>
      <x:c r="AA72" s="20"/>
      <x:c r="AB72" s="20"/>
      <x:c r="AC72" s="20" t="str">
        <x:f>IF(U72="","",U72+V72+X72+Y72+Z72+AA72+AB72)</x:f>
      </x:c>
      <x:c r="AD72" s="28"/>
      <x:c r="AE72" s="20" t="str">
        <x:f>IF(AD72="","",IF(AD72&gt;=1,18,IF(AD72&gt;=0.8,14,IF(AD72&gt;=0.6,9,4))))</x:f>
      </x:c>
      <x:c r="AF72" s="20"/>
      <x:c r="AG72" s="20"/>
      <x:c r="AH72" s="20"/>
      <x:c r="AI72" s="20"/>
      <x:c r="AJ72" s="20"/>
      <x:c r="AK72" s="20" t="str">
        <x:f>IF(AE72="","",AE72+AF72+AG72+AH72+AI72+AJ72)</x:f>
      </x:c>
      <x:c r="AL72" s="32" t="str">
        <x:f>IF(COUNT(M72,T72,AC72,AK72)=4,M72+T72+AC72+AK72,"")</x:f>
      </x:c>
      <x:c r="AM72" s="20" t="str">
        <x:f>IF(AL72="","",IF(AN72="有","重点关注",IF(AL72&gt;=80,"整体功能较好",IF(AL72&gt;=60,"轻度关注",IF(AL72&gt;=40,"中度关注","高度关注")))))</x:f>
      </x:c>
      <x:c r="AN72" s="20" t="str">
        <x:f>IF(OR(M72&lt;=15,T72&lt;=15,AC72&lt;=15,AK72&lt;=15,AD72&lt;0.6,N72&gt;20,U72=0,E72="是",F72&lt;&gt;"合格"),"有","无")</x:f>
        <x:v>有</x:v>
      </x:c>
      <x:c r="AO72" s="20" t="str">
        <x:f>IF(AL72="","",IF(AN72="有","存在红线或单项明显短板，建议重点关注并结合CGA/医生复核。",IF(AM72="整体功能较好","整体功能较好，建议维持运动并定期复测。",IF(AM72="轻度关注","存在部分功能短板，建议针对性训练与随访。",IF(AM72="中度关注","多项能力下降，建议进一步评估肌少症、衰弱或跌倒风险。","活动能力明显下降，建议临床评估与个体化干预。")))))</x:f>
      </x:c>
    </x:row>
    <x:row r="73">
      <x:c r="A73" s="20"/>
      <x:c r="B73" s="20"/>
      <x:c r="C73" s="20"/>
      <x:c r="D73" s="20"/>
      <x:c r="E73" s="20"/>
      <x:c r="F73" s="20"/>
      <x:c r="G73" s="30"/>
      <x:c r="H73" s="28" t="str">
        <x:f>IF(C73="男",G73/28,IF(C73="女",G73/18,""))</x:f>
      </x:c>
      <x:c r="I73" s="20" t="str">
        <x:f>IF(G73="","",IF(H73&gt;=1.1,18,IF(H73&gt;=1,15,IF(H73&gt;=0.85,11,IF(H73&gt;=0.7,7,3)))))</x:f>
      </x:c>
      <x:c r="J73" s="20"/>
      <x:c r="K73" s="20"/>
      <x:c r="L73" s="20"/>
      <x:c r="M73" s="20" t="str">
        <x:f>IF(I73="","",I73+J73+K73+L73)</x:f>
      </x:c>
      <x:c r="N73" s="30"/>
      <x:c r="O73" s="20" t="str">
        <x:f>IF(N73="","",IF(N73&lt;=10,18,IF(N73&lt;=12,15,IF(N73&lt;=15,10,IF(N73&lt;=20,5,2)))))</x:f>
      </x:c>
      <x:c r="P73" s="20"/>
      <x:c r="Q73" s="20"/>
      <x:c r="R73" s="20"/>
      <x:c r="S73" s="20"/>
      <x:c r="T73" s="20" t="str">
        <x:f>IF(O73="","",O73+P73+Q73+R73+S73)</x:f>
      </x:c>
      <x:c r="U73" s="20"/>
      <x:c r="V73" s="20"/>
      <x:c r="W73" s="30"/>
      <x:c r="X73" s="20" t="str">
        <x:f>IF(W73="","",IF(W73&lt;=10,3,IF(W73&lt;=15,2,IF(W73&lt;=20,1,0))))</x:f>
      </x:c>
      <x:c r="Y73" s="20"/>
      <x:c r="Z73" s="20"/>
      <x:c r="AA73" s="20"/>
      <x:c r="AB73" s="20"/>
      <x:c r="AC73" s="20" t="str">
        <x:f>IF(U73="","",U73+V73+X73+Y73+Z73+AA73+AB73)</x:f>
      </x:c>
      <x:c r="AD73" s="28"/>
      <x:c r="AE73" s="20" t="str">
        <x:f>IF(AD73="","",IF(AD73&gt;=1,18,IF(AD73&gt;=0.8,14,IF(AD73&gt;=0.6,9,4))))</x:f>
      </x:c>
      <x:c r="AF73" s="20"/>
      <x:c r="AG73" s="20"/>
      <x:c r="AH73" s="20"/>
      <x:c r="AI73" s="20"/>
      <x:c r="AJ73" s="20"/>
      <x:c r="AK73" s="20" t="str">
        <x:f>IF(AE73="","",AE73+AF73+AG73+AH73+AI73+AJ73)</x:f>
      </x:c>
      <x:c r="AL73" s="32" t="str">
        <x:f>IF(COUNT(M73,T73,AC73,AK73)=4,M73+T73+AC73+AK73,"")</x:f>
      </x:c>
      <x:c r="AM73" s="20" t="str">
        <x:f>IF(AL73="","",IF(AN73="有","重点关注",IF(AL73&gt;=80,"整体功能较好",IF(AL73&gt;=60,"轻度关注",IF(AL73&gt;=40,"中度关注","高度关注")))))</x:f>
      </x:c>
      <x:c r="AN73" s="20" t="str">
        <x:f>IF(OR(M73&lt;=15,T73&lt;=15,AC73&lt;=15,AK73&lt;=15,AD73&lt;0.6,N73&gt;20,U73=0,E73="是",F73&lt;&gt;"合格"),"有","无")</x:f>
        <x:v>有</x:v>
      </x:c>
      <x:c r="AO73" s="20" t="str">
        <x:f>IF(AL73="","",IF(AN73="有","存在红线或单项明显短板，建议重点关注并结合CGA/医生复核。",IF(AM73="整体功能较好","整体功能较好，建议维持运动并定期复测。",IF(AM73="轻度关注","存在部分功能短板，建议针对性训练与随访。",IF(AM73="中度关注","多项能力下降，建议进一步评估肌少症、衰弱或跌倒风险。","活动能力明显下降，建议临床评估与个体化干预。")))))</x:f>
      </x:c>
    </x:row>
    <x:row r="74">
      <x:c r="A74" s="20"/>
      <x:c r="B74" s="20"/>
      <x:c r="C74" s="20"/>
      <x:c r="D74" s="20"/>
      <x:c r="E74" s="20"/>
      <x:c r="F74" s="20"/>
      <x:c r="G74" s="30"/>
      <x:c r="H74" s="28" t="str">
        <x:f>IF(C74="男",G74/28,IF(C74="女",G74/18,""))</x:f>
      </x:c>
      <x:c r="I74" s="20" t="str">
        <x:f>IF(G74="","",IF(H74&gt;=1.1,18,IF(H74&gt;=1,15,IF(H74&gt;=0.85,11,IF(H74&gt;=0.7,7,3)))))</x:f>
      </x:c>
      <x:c r="J74" s="20"/>
      <x:c r="K74" s="20"/>
      <x:c r="L74" s="20"/>
      <x:c r="M74" s="20" t="str">
        <x:f>IF(I74="","",I74+J74+K74+L74)</x:f>
      </x:c>
      <x:c r="N74" s="30"/>
      <x:c r="O74" s="20" t="str">
        <x:f>IF(N74="","",IF(N74&lt;=10,18,IF(N74&lt;=12,15,IF(N74&lt;=15,10,IF(N74&lt;=20,5,2)))))</x:f>
      </x:c>
      <x:c r="P74" s="20"/>
      <x:c r="Q74" s="20"/>
      <x:c r="R74" s="20"/>
      <x:c r="S74" s="20"/>
      <x:c r="T74" s="20" t="str">
        <x:f>IF(O74="","",O74+P74+Q74+R74+S74)</x:f>
      </x:c>
      <x:c r="U74" s="20"/>
      <x:c r="V74" s="20"/>
      <x:c r="W74" s="30"/>
      <x:c r="X74" s="20" t="str">
        <x:f>IF(W74="","",IF(W74&lt;=10,3,IF(W74&lt;=15,2,IF(W74&lt;=20,1,0))))</x:f>
      </x:c>
      <x:c r="Y74" s="20"/>
      <x:c r="Z74" s="20"/>
      <x:c r="AA74" s="20"/>
      <x:c r="AB74" s="20"/>
      <x:c r="AC74" s="20" t="str">
        <x:f>IF(U74="","",U74+V74+X74+Y74+Z74+AA74+AB74)</x:f>
      </x:c>
      <x:c r="AD74" s="28"/>
      <x:c r="AE74" s="20" t="str">
        <x:f>IF(AD74="","",IF(AD74&gt;=1,18,IF(AD74&gt;=0.8,14,IF(AD74&gt;=0.6,9,4))))</x:f>
      </x:c>
      <x:c r="AF74" s="20"/>
      <x:c r="AG74" s="20"/>
      <x:c r="AH74" s="20"/>
      <x:c r="AI74" s="20"/>
      <x:c r="AJ74" s="20"/>
      <x:c r="AK74" s="20" t="str">
        <x:f>IF(AE74="","",AE74+AF74+AG74+AH74+AI74+AJ74)</x:f>
      </x:c>
      <x:c r="AL74" s="32" t="str">
        <x:f>IF(COUNT(M74,T74,AC74,AK74)=4,M74+T74+AC74+AK74,"")</x:f>
      </x:c>
      <x:c r="AM74" s="20" t="str">
        <x:f>IF(AL74="","",IF(AN74="有","重点关注",IF(AL74&gt;=80,"整体功能较好",IF(AL74&gt;=60,"轻度关注",IF(AL74&gt;=40,"中度关注","高度关注")))))</x:f>
      </x:c>
      <x:c r="AN74" s="20" t="str">
        <x:f>IF(OR(M74&lt;=15,T74&lt;=15,AC74&lt;=15,AK74&lt;=15,AD74&lt;0.6,N74&gt;20,U74=0,E74="是",F74&lt;&gt;"合格"),"有","无")</x:f>
        <x:v>有</x:v>
      </x:c>
      <x:c r="AO74" s="20" t="str">
        <x:f>IF(AL74="","",IF(AN74="有","存在红线或单项明显短板，建议重点关注并结合CGA/医生复核。",IF(AM74="整体功能较好","整体功能较好，建议维持运动并定期复测。",IF(AM74="轻度关注","存在部分功能短板，建议针对性训练与随访。",IF(AM74="中度关注","多项能力下降，建议进一步评估肌少症、衰弱或跌倒风险。","活动能力明显下降，建议临床评估与个体化干预。")))))</x:f>
      </x:c>
    </x:row>
    <x:row r="75">
      <x:c r="A75" s="20"/>
      <x:c r="B75" s="20"/>
      <x:c r="C75" s="20"/>
      <x:c r="D75" s="20"/>
      <x:c r="E75" s="20"/>
      <x:c r="F75" s="20"/>
      <x:c r="G75" s="30"/>
      <x:c r="H75" s="28" t="str">
        <x:f>IF(C75="男",G75/28,IF(C75="女",G75/18,""))</x:f>
      </x:c>
      <x:c r="I75" s="20" t="str">
        <x:f>IF(G75="","",IF(H75&gt;=1.1,18,IF(H75&gt;=1,15,IF(H75&gt;=0.85,11,IF(H75&gt;=0.7,7,3)))))</x:f>
      </x:c>
      <x:c r="J75" s="20"/>
      <x:c r="K75" s="20"/>
      <x:c r="L75" s="20"/>
      <x:c r="M75" s="20" t="str">
        <x:f>IF(I75="","",I75+J75+K75+L75)</x:f>
      </x:c>
      <x:c r="N75" s="30"/>
      <x:c r="O75" s="20" t="str">
        <x:f>IF(N75="","",IF(N75&lt;=10,18,IF(N75&lt;=12,15,IF(N75&lt;=15,10,IF(N75&lt;=20,5,2)))))</x:f>
      </x:c>
      <x:c r="P75" s="20"/>
      <x:c r="Q75" s="20"/>
      <x:c r="R75" s="20"/>
      <x:c r="S75" s="20"/>
      <x:c r="T75" s="20" t="str">
        <x:f>IF(O75="","",O75+P75+Q75+R75+S75)</x:f>
      </x:c>
      <x:c r="U75" s="20"/>
      <x:c r="V75" s="20"/>
      <x:c r="W75" s="30"/>
      <x:c r="X75" s="20" t="str">
        <x:f>IF(W75="","",IF(W75&lt;=10,3,IF(W75&lt;=15,2,IF(W75&lt;=20,1,0))))</x:f>
      </x:c>
      <x:c r="Y75" s="20"/>
      <x:c r="Z75" s="20"/>
      <x:c r="AA75" s="20"/>
      <x:c r="AB75" s="20"/>
      <x:c r="AC75" s="20" t="str">
        <x:f>IF(U75="","",U75+V75+X75+Y75+Z75+AA75+AB75)</x:f>
      </x:c>
      <x:c r="AD75" s="28"/>
      <x:c r="AE75" s="20" t="str">
        <x:f>IF(AD75="","",IF(AD75&gt;=1,18,IF(AD75&gt;=0.8,14,IF(AD75&gt;=0.6,9,4))))</x:f>
      </x:c>
      <x:c r="AF75" s="20"/>
      <x:c r="AG75" s="20"/>
      <x:c r="AH75" s="20"/>
      <x:c r="AI75" s="20"/>
      <x:c r="AJ75" s="20"/>
      <x:c r="AK75" s="20" t="str">
        <x:f>IF(AE75="","",AE75+AF75+AG75+AH75+AI75+AJ75)</x:f>
      </x:c>
      <x:c r="AL75" s="32" t="str">
        <x:f>IF(COUNT(M75,T75,AC75,AK75)=4,M75+T75+AC75+AK75,"")</x:f>
      </x:c>
      <x:c r="AM75" s="20" t="str">
        <x:f>IF(AL75="","",IF(AN75="有","重点关注",IF(AL75&gt;=80,"整体功能较好",IF(AL75&gt;=60,"轻度关注",IF(AL75&gt;=40,"中度关注","高度关注")))))</x:f>
      </x:c>
      <x:c r="AN75" s="20" t="str">
        <x:f>IF(OR(M75&lt;=15,T75&lt;=15,AC75&lt;=15,AK75&lt;=15,AD75&lt;0.6,N75&gt;20,U75=0,E75="是",F75&lt;&gt;"合格"),"有","无")</x:f>
        <x:v>有</x:v>
      </x:c>
      <x:c r="AO75" s="20" t="str">
        <x:f>IF(AL75="","",IF(AN75="有","存在红线或单项明显短板，建议重点关注并结合CGA/医生复核。",IF(AM75="整体功能较好","整体功能较好，建议维持运动并定期复测。",IF(AM75="轻度关注","存在部分功能短板，建议针对性训练与随访。",IF(AM75="中度关注","多项能力下降，建议进一步评估肌少症、衰弱或跌倒风险。","活动能力明显下降，建议临床评估与个体化干预。")))))</x:f>
      </x:c>
    </x:row>
    <x:row r="76">
      <x:c r="A76" s="20"/>
      <x:c r="B76" s="20"/>
      <x:c r="C76" s="20"/>
      <x:c r="D76" s="20"/>
      <x:c r="E76" s="20"/>
      <x:c r="F76" s="20"/>
      <x:c r="G76" s="30"/>
      <x:c r="H76" s="28" t="str">
        <x:f>IF(C76="男",G76/28,IF(C76="女",G76/18,""))</x:f>
      </x:c>
      <x:c r="I76" s="20" t="str">
        <x:f>IF(G76="","",IF(H76&gt;=1.1,18,IF(H76&gt;=1,15,IF(H76&gt;=0.85,11,IF(H76&gt;=0.7,7,3)))))</x:f>
      </x:c>
      <x:c r="J76" s="20"/>
      <x:c r="K76" s="20"/>
      <x:c r="L76" s="20"/>
      <x:c r="M76" s="20" t="str">
        <x:f>IF(I76="","",I76+J76+K76+L76)</x:f>
      </x:c>
      <x:c r="N76" s="30"/>
      <x:c r="O76" s="20" t="str">
        <x:f>IF(N76="","",IF(N76&lt;=10,18,IF(N76&lt;=12,15,IF(N76&lt;=15,10,IF(N76&lt;=20,5,2)))))</x:f>
      </x:c>
      <x:c r="P76" s="20"/>
      <x:c r="Q76" s="20"/>
      <x:c r="R76" s="20"/>
      <x:c r="S76" s="20"/>
      <x:c r="T76" s="20" t="str">
        <x:f>IF(O76="","",O76+P76+Q76+R76+S76)</x:f>
      </x:c>
      <x:c r="U76" s="20"/>
      <x:c r="V76" s="20"/>
      <x:c r="W76" s="30"/>
      <x:c r="X76" s="20" t="str">
        <x:f>IF(W76="","",IF(W76&lt;=10,3,IF(W76&lt;=15,2,IF(W76&lt;=20,1,0))))</x:f>
      </x:c>
      <x:c r="Y76" s="20"/>
      <x:c r="Z76" s="20"/>
      <x:c r="AA76" s="20"/>
      <x:c r="AB76" s="20"/>
      <x:c r="AC76" s="20" t="str">
        <x:f>IF(U76="","",U76+V76+X76+Y76+Z76+AA76+AB76)</x:f>
      </x:c>
      <x:c r="AD76" s="28"/>
      <x:c r="AE76" s="20" t="str">
        <x:f>IF(AD76="","",IF(AD76&gt;=1,18,IF(AD76&gt;=0.8,14,IF(AD76&gt;=0.6,9,4))))</x:f>
      </x:c>
      <x:c r="AF76" s="20"/>
      <x:c r="AG76" s="20"/>
      <x:c r="AH76" s="20"/>
      <x:c r="AI76" s="20"/>
      <x:c r="AJ76" s="20"/>
      <x:c r="AK76" s="20" t="str">
        <x:f>IF(AE76="","",AE76+AF76+AG76+AH76+AI76+AJ76)</x:f>
      </x:c>
      <x:c r="AL76" s="32" t="str">
        <x:f>IF(COUNT(M76,T76,AC76,AK76)=4,M76+T76+AC76+AK76,"")</x:f>
      </x:c>
      <x:c r="AM76" s="20" t="str">
        <x:f>IF(AL76="","",IF(AN76="有","重点关注",IF(AL76&gt;=80,"整体功能较好",IF(AL76&gt;=60,"轻度关注",IF(AL76&gt;=40,"中度关注","高度关注")))))</x:f>
      </x:c>
      <x:c r="AN76" s="20" t="str">
        <x:f>IF(OR(M76&lt;=15,T76&lt;=15,AC76&lt;=15,AK76&lt;=15,AD76&lt;0.6,N76&gt;20,U76=0,E76="是",F76&lt;&gt;"合格"),"有","无")</x:f>
        <x:v>有</x:v>
      </x:c>
      <x:c r="AO76" s="20" t="str">
        <x:f>IF(AL76="","",IF(AN76="有","存在红线或单项明显短板，建议重点关注并结合CGA/医生复核。",IF(AM76="整体功能较好","整体功能较好，建议维持运动并定期复测。",IF(AM76="轻度关注","存在部分功能短板，建议针对性训练与随访。",IF(AM76="中度关注","多项能力下降，建议进一步评估肌少症、衰弱或跌倒风险。","活动能力明显下降，建议临床评估与个体化干预。")))))</x:f>
      </x:c>
    </x:row>
    <x:row r="77">
      <x:c r="A77" s="20"/>
      <x:c r="B77" s="20"/>
      <x:c r="C77" s="20"/>
      <x:c r="D77" s="20"/>
      <x:c r="E77" s="20"/>
      <x:c r="F77" s="20"/>
      <x:c r="G77" s="30"/>
      <x:c r="H77" s="28" t="str">
        <x:f>IF(C77="男",G77/28,IF(C77="女",G77/18,""))</x:f>
      </x:c>
      <x:c r="I77" s="20" t="str">
        <x:f>IF(G77="","",IF(H77&gt;=1.1,18,IF(H77&gt;=1,15,IF(H77&gt;=0.85,11,IF(H77&gt;=0.7,7,3)))))</x:f>
      </x:c>
      <x:c r="J77" s="20"/>
      <x:c r="K77" s="20"/>
      <x:c r="L77" s="20"/>
      <x:c r="M77" s="20" t="str">
        <x:f>IF(I77="","",I77+J77+K77+L77)</x:f>
      </x:c>
      <x:c r="N77" s="30"/>
      <x:c r="O77" s="20" t="str">
        <x:f>IF(N77="","",IF(N77&lt;=10,18,IF(N77&lt;=12,15,IF(N77&lt;=15,10,IF(N77&lt;=20,5,2)))))</x:f>
      </x:c>
      <x:c r="P77" s="20"/>
      <x:c r="Q77" s="20"/>
      <x:c r="R77" s="20"/>
      <x:c r="S77" s="20"/>
      <x:c r="T77" s="20" t="str">
        <x:f>IF(O77="","",O77+P77+Q77+R77+S77)</x:f>
      </x:c>
      <x:c r="U77" s="20"/>
      <x:c r="V77" s="20"/>
      <x:c r="W77" s="30"/>
      <x:c r="X77" s="20" t="str">
        <x:f>IF(W77="","",IF(W77&lt;=10,3,IF(W77&lt;=15,2,IF(W77&lt;=20,1,0))))</x:f>
      </x:c>
      <x:c r="Y77" s="20"/>
      <x:c r="Z77" s="20"/>
      <x:c r="AA77" s="20"/>
      <x:c r="AB77" s="20"/>
      <x:c r="AC77" s="20" t="str">
        <x:f>IF(U77="","",U77+V77+X77+Y77+Z77+AA77+AB77)</x:f>
      </x:c>
      <x:c r="AD77" s="28"/>
      <x:c r="AE77" s="20" t="str">
        <x:f>IF(AD77="","",IF(AD77&gt;=1,18,IF(AD77&gt;=0.8,14,IF(AD77&gt;=0.6,9,4))))</x:f>
      </x:c>
      <x:c r="AF77" s="20"/>
      <x:c r="AG77" s="20"/>
      <x:c r="AH77" s="20"/>
      <x:c r="AI77" s="20"/>
      <x:c r="AJ77" s="20"/>
      <x:c r="AK77" s="20" t="str">
        <x:f>IF(AE77="","",AE77+AF77+AG77+AH77+AI77+AJ77)</x:f>
      </x:c>
      <x:c r="AL77" s="32" t="str">
        <x:f>IF(COUNT(M77,T77,AC77,AK77)=4,M77+T77+AC77+AK77,"")</x:f>
      </x:c>
      <x:c r="AM77" s="20" t="str">
        <x:f>IF(AL77="","",IF(AN77="有","重点关注",IF(AL77&gt;=80,"整体功能较好",IF(AL77&gt;=60,"轻度关注",IF(AL77&gt;=40,"中度关注","高度关注")))))</x:f>
      </x:c>
      <x:c r="AN77" s="20" t="str">
        <x:f>IF(OR(M77&lt;=15,T77&lt;=15,AC77&lt;=15,AK77&lt;=15,AD77&lt;0.6,N77&gt;20,U77=0,E77="是",F77&lt;&gt;"合格"),"有","无")</x:f>
        <x:v>有</x:v>
      </x:c>
      <x:c r="AO77" s="20" t="str">
        <x:f>IF(AL77="","",IF(AN77="有","存在红线或单项明显短板，建议重点关注并结合CGA/医生复核。",IF(AM77="整体功能较好","整体功能较好，建议维持运动并定期复测。",IF(AM77="轻度关注","存在部分功能短板，建议针对性训练与随访。",IF(AM77="中度关注","多项能力下降，建议进一步评估肌少症、衰弱或跌倒风险。","活动能力明显下降，建议临床评估与个体化干预。")))))</x:f>
      </x:c>
    </x:row>
    <x:row r="78">
      <x:c r="A78" s="20"/>
      <x:c r="B78" s="20"/>
      <x:c r="C78" s="20"/>
      <x:c r="D78" s="20"/>
      <x:c r="E78" s="20"/>
      <x:c r="F78" s="20"/>
      <x:c r="G78" s="30"/>
      <x:c r="H78" s="28" t="str">
        <x:f>IF(C78="男",G78/28,IF(C78="女",G78/18,""))</x:f>
      </x:c>
      <x:c r="I78" s="20" t="str">
        <x:f>IF(G78="","",IF(H78&gt;=1.1,18,IF(H78&gt;=1,15,IF(H78&gt;=0.85,11,IF(H78&gt;=0.7,7,3)))))</x:f>
      </x:c>
      <x:c r="J78" s="20"/>
      <x:c r="K78" s="20"/>
      <x:c r="L78" s="20"/>
      <x:c r="M78" s="20" t="str">
        <x:f>IF(I78="","",I78+J78+K78+L78)</x:f>
      </x:c>
      <x:c r="N78" s="30"/>
      <x:c r="O78" s="20" t="str">
        <x:f>IF(N78="","",IF(N78&lt;=10,18,IF(N78&lt;=12,15,IF(N78&lt;=15,10,IF(N78&lt;=20,5,2)))))</x:f>
      </x:c>
      <x:c r="P78" s="20"/>
      <x:c r="Q78" s="20"/>
      <x:c r="R78" s="20"/>
      <x:c r="S78" s="20"/>
      <x:c r="T78" s="20" t="str">
        <x:f>IF(O78="","",O78+P78+Q78+R78+S78)</x:f>
      </x:c>
      <x:c r="U78" s="20"/>
      <x:c r="V78" s="20"/>
      <x:c r="W78" s="30"/>
      <x:c r="X78" s="20" t="str">
        <x:f>IF(W78="","",IF(W78&lt;=10,3,IF(W78&lt;=15,2,IF(W78&lt;=20,1,0))))</x:f>
      </x:c>
      <x:c r="Y78" s="20"/>
      <x:c r="Z78" s="20"/>
      <x:c r="AA78" s="20"/>
      <x:c r="AB78" s="20"/>
      <x:c r="AC78" s="20" t="str">
        <x:f>IF(U78="","",U78+V78+X78+Y78+Z78+AA78+AB78)</x:f>
      </x:c>
      <x:c r="AD78" s="28"/>
      <x:c r="AE78" s="20" t="str">
        <x:f>IF(AD78="","",IF(AD78&gt;=1,18,IF(AD78&gt;=0.8,14,IF(AD78&gt;=0.6,9,4))))</x:f>
      </x:c>
      <x:c r="AF78" s="20"/>
      <x:c r="AG78" s="20"/>
      <x:c r="AH78" s="20"/>
      <x:c r="AI78" s="20"/>
      <x:c r="AJ78" s="20"/>
      <x:c r="AK78" s="20" t="str">
        <x:f>IF(AE78="","",AE78+AF78+AG78+AH78+AI78+AJ78)</x:f>
      </x:c>
      <x:c r="AL78" s="32" t="str">
        <x:f>IF(COUNT(M78,T78,AC78,AK78)=4,M78+T78+AC78+AK78,"")</x:f>
      </x:c>
      <x:c r="AM78" s="20" t="str">
        <x:f>IF(AL78="","",IF(AN78="有","重点关注",IF(AL78&gt;=80,"整体功能较好",IF(AL78&gt;=60,"轻度关注",IF(AL78&gt;=40,"中度关注","高度关注")))))</x:f>
      </x:c>
      <x:c r="AN78" s="20" t="str">
        <x:f>IF(OR(M78&lt;=15,T78&lt;=15,AC78&lt;=15,AK78&lt;=15,AD78&lt;0.6,N78&gt;20,U78=0,E78="是",F78&lt;&gt;"合格"),"有","无")</x:f>
        <x:v>有</x:v>
      </x:c>
      <x:c r="AO78" s="20" t="str">
        <x:f>IF(AL78="","",IF(AN78="有","存在红线或单项明显短板，建议重点关注并结合CGA/医生复核。",IF(AM78="整体功能较好","整体功能较好，建议维持运动并定期复测。",IF(AM78="轻度关注","存在部分功能短板，建议针对性训练与随访。",IF(AM78="中度关注","多项能力下降，建议进一步评估肌少症、衰弱或跌倒风险。","活动能力明显下降，建议临床评估与个体化干预。")))))</x:f>
      </x:c>
    </x:row>
    <x:row r="79">
      <x:c r="A79" s="20"/>
      <x:c r="B79" s="20"/>
      <x:c r="C79" s="20"/>
      <x:c r="D79" s="20"/>
      <x:c r="E79" s="20"/>
      <x:c r="F79" s="20"/>
      <x:c r="G79" s="30"/>
      <x:c r="H79" s="28" t="str">
        <x:f>IF(C79="男",G79/28,IF(C79="女",G79/18,""))</x:f>
      </x:c>
      <x:c r="I79" s="20" t="str">
        <x:f>IF(G79="","",IF(H79&gt;=1.1,18,IF(H79&gt;=1,15,IF(H79&gt;=0.85,11,IF(H79&gt;=0.7,7,3)))))</x:f>
      </x:c>
      <x:c r="J79" s="20"/>
      <x:c r="K79" s="20"/>
      <x:c r="L79" s="20"/>
      <x:c r="M79" s="20" t="str">
        <x:f>IF(I79="","",I79+J79+K79+L79)</x:f>
      </x:c>
      <x:c r="N79" s="30"/>
      <x:c r="O79" s="20" t="str">
        <x:f>IF(N79="","",IF(N79&lt;=10,18,IF(N79&lt;=12,15,IF(N79&lt;=15,10,IF(N79&lt;=20,5,2)))))</x:f>
      </x:c>
      <x:c r="P79" s="20"/>
      <x:c r="Q79" s="20"/>
      <x:c r="R79" s="20"/>
      <x:c r="S79" s="20"/>
      <x:c r="T79" s="20" t="str">
        <x:f>IF(O79="","",O79+P79+Q79+R79+S79)</x:f>
      </x:c>
      <x:c r="U79" s="20"/>
      <x:c r="V79" s="20"/>
      <x:c r="W79" s="30"/>
      <x:c r="X79" s="20" t="str">
        <x:f>IF(W79="","",IF(W79&lt;=10,3,IF(W79&lt;=15,2,IF(W79&lt;=20,1,0))))</x:f>
      </x:c>
      <x:c r="Y79" s="20"/>
      <x:c r="Z79" s="20"/>
      <x:c r="AA79" s="20"/>
      <x:c r="AB79" s="20"/>
      <x:c r="AC79" s="20" t="str">
        <x:f>IF(U79="","",U79+V79+X79+Y79+Z79+AA79+AB79)</x:f>
      </x:c>
      <x:c r="AD79" s="28"/>
      <x:c r="AE79" s="20" t="str">
        <x:f>IF(AD79="","",IF(AD79&gt;=1,18,IF(AD79&gt;=0.8,14,IF(AD79&gt;=0.6,9,4))))</x:f>
      </x:c>
      <x:c r="AF79" s="20"/>
      <x:c r="AG79" s="20"/>
      <x:c r="AH79" s="20"/>
      <x:c r="AI79" s="20"/>
      <x:c r="AJ79" s="20"/>
      <x:c r="AK79" s="20" t="str">
        <x:f>IF(AE79="","",AE79+AF79+AG79+AH79+AI79+AJ79)</x:f>
      </x:c>
      <x:c r="AL79" s="32" t="str">
        <x:f>IF(COUNT(M79,T79,AC79,AK79)=4,M79+T79+AC79+AK79,"")</x:f>
      </x:c>
      <x:c r="AM79" s="20" t="str">
        <x:f>IF(AL79="","",IF(AN79="有","重点关注",IF(AL79&gt;=80,"整体功能较好",IF(AL79&gt;=60,"轻度关注",IF(AL79&gt;=40,"中度关注","高度关注")))))</x:f>
      </x:c>
      <x:c r="AN79" s="20" t="str">
        <x:f>IF(OR(M79&lt;=15,T79&lt;=15,AC79&lt;=15,AK79&lt;=15,AD79&lt;0.6,N79&gt;20,U79=0,E79="是",F79&lt;&gt;"合格"),"有","无")</x:f>
        <x:v>有</x:v>
      </x:c>
      <x:c r="AO79" s="20" t="str">
        <x:f>IF(AL79="","",IF(AN79="有","存在红线或单项明显短板，建议重点关注并结合CGA/医生复核。",IF(AM79="整体功能较好","整体功能较好，建议维持运动并定期复测。",IF(AM79="轻度关注","存在部分功能短板，建议针对性训练与随访。",IF(AM79="中度关注","多项能力下降，建议进一步评估肌少症、衰弱或跌倒风险。","活动能力明显下降，建议临床评估与个体化干预。")))))</x:f>
      </x:c>
    </x:row>
    <x:row r="80">
      <x:c r="A80" s="20"/>
      <x:c r="B80" s="20"/>
      <x:c r="C80" s="20"/>
      <x:c r="D80" s="20"/>
      <x:c r="E80" s="20"/>
      <x:c r="F80" s="20"/>
      <x:c r="G80" s="30"/>
      <x:c r="H80" s="28" t="str">
        <x:f>IF(C80="男",G80/28,IF(C80="女",G80/18,""))</x:f>
      </x:c>
      <x:c r="I80" s="20" t="str">
        <x:f>IF(G80="","",IF(H80&gt;=1.1,18,IF(H80&gt;=1,15,IF(H80&gt;=0.85,11,IF(H80&gt;=0.7,7,3)))))</x:f>
      </x:c>
      <x:c r="J80" s="20"/>
      <x:c r="K80" s="20"/>
      <x:c r="L80" s="20"/>
      <x:c r="M80" s="20" t="str">
        <x:f>IF(I80="","",I80+J80+K80+L80)</x:f>
      </x:c>
      <x:c r="N80" s="30"/>
      <x:c r="O80" s="20" t="str">
        <x:f>IF(N80="","",IF(N80&lt;=10,18,IF(N80&lt;=12,15,IF(N80&lt;=15,10,IF(N80&lt;=20,5,2)))))</x:f>
      </x:c>
      <x:c r="P80" s="20"/>
      <x:c r="Q80" s="20"/>
      <x:c r="R80" s="20"/>
      <x:c r="S80" s="20"/>
      <x:c r="T80" s="20" t="str">
        <x:f>IF(O80="","",O80+P80+Q80+R80+S80)</x:f>
      </x:c>
      <x:c r="U80" s="20"/>
      <x:c r="V80" s="20"/>
      <x:c r="W80" s="30"/>
      <x:c r="X80" s="20" t="str">
        <x:f>IF(W80="","",IF(W80&lt;=10,3,IF(W80&lt;=15,2,IF(W80&lt;=20,1,0))))</x:f>
      </x:c>
      <x:c r="Y80" s="20"/>
      <x:c r="Z80" s="20"/>
      <x:c r="AA80" s="20"/>
      <x:c r="AB80" s="20"/>
      <x:c r="AC80" s="20" t="str">
        <x:f>IF(U80="","",U80+V80+X80+Y80+Z80+AA80+AB80)</x:f>
      </x:c>
      <x:c r="AD80" s="28"/>
      <x:c r="AE80" s="20" t="str">
        <x:f>IF(AD80="","",IF(AD80&gt;=1,18,IF(AD80&gt;=0.8,14,IF(AD80&gt;=0.6,9,4))))</x:f>
      </x:c>
      <x:c r="AF80" s="20"/>
      <x:c r="AG80" s="20"/>
      <x:c r="AH80" s="20"/>
      <x:c r="AI80" s="20"/>
      <x:c r="AJ80" s="20"/>
      <x:c r="AK80" s="20" t="str">
        <x:f>IF(AE80="","",AE80+AF80+AG80+AH80+AI80+AJ80)</x:f>
      </x:c>
      <x:c r="AL80" s="32" t="str">
        <x:f>IF(COUNT(M80,T80,AC80,AK80)=4,M80+T80+AC80+AK80,"")</x:f>
      </x:c>
      <x:c r="AM80" s="20" t="str">
        <x:f>IF(AL80="","",IF(AN80="有","重点关注",IF(AL80&gt;=80,"整体功能较好",IF(AL80&gt;=60,"轻度关注",IF(AL80&gt;=40,"中度关注","高度关注")))))</x:f>
      </x:c>
      <x:c r="AN80" s="20" t="str">
        <x:f>IF(OR(M80&lt;=15,T80&lt;=15,AC80&lt;=15,AK80&lt;=15,AD80&lt;0.6,N80&gt;20,U80=0,E80="是",F80&lt;&gt;"合格"),"有","无")</x:f>
        <x:v>有</x:v>
      </x:c>
      <x:c r="AO80" s="20" t="str">
        <x:f>IF(AL80="","",IF(AN80="有","存在红线或单项明显短板，建议重点关注并结合CGA/医生复核。",IF(AM80="整体功能较好","整体功能较好，建议维持运动并定期复测。",IF(AM80="轻度关注","存在部分功能短板，建议针对性训练与随访。",IF(AM80="中度关注","多项能力下降，建议进一步评估肌少症、衰弱或跌倒风险。","活动能力明显下降，建议临床评估与个体化干预。")))))</x:f>
      </x:c>
    </x:row>
    <x:row r="81">
      <x:c r="A81" s="20"/>
      <x:c r="B81" s="20"/>
      <x:c r="C81" s="20"/>
      <x:c r="D81" s="20"/>
      <x:c r="E81" s="20"/>
      <x:c r="F81" s="20"/>
      <x:c r="G81" s="30"/>
      <x:c r="H81" s="28" t="str">
        <x:f>IF(C81="男",G81/28,IF(C81="女",G81/18,""))</x:f>
      </x:c>
      <x:c r="I81" s="20" t="str">
        <x:f>IF(G81="","",IF(H81&gt;=1.1,18,IF(H81&gt;=1,15,IF(H81&gt;=0.85,11,IF(H81&gt;=0.7,7,3)))))</x:f>
      </x:c>
      <x:c r="J81" s="20"/>
      <x:c r="K81" s="20"/>
      <x:c r="L81" s="20"/>
      <x:c r="M81" s="20" t="str">
        <x:f>IF(I81="","",I81+J81+K81+L81)</x:f>
      </x:c>
      <x:c r="N81" s="30"/>
      <x:c r="O81" s="20" t="str">
        <x:f>IF(N81="","",IF(N81&lt;=10,18,IF(N81&lt;=12,15,IF(N81&lt;=15,10,IF(N81&lt;=20,5,2)))))</x:f>
      </x:c>
      <x:c r="P81" s="20"/>
      <x:c r="Q81" s="20"/>
      <x:c r="R81" s="20"/>
      <x:c r="S81" s="20"/>
      <x:c r="T81" s="20" t="str">
        <x:f>IF(O81="","",O81+P81+Q81+R81+S81)</x:f>
      </x:c>
      <x:c r="U81" s="20"/>
      <x:c r="V81" s="20"/>
      <x:c r="W81" s="30"/>
      <x:c r="X81" s="20" t="str">
        <x:f>IF(W81="","",IF(W81&lt;=10,3,IF(W81&lt;=15,2,IF(W81&lt;=20,1,0))))</x:f>
      </x:c>
      <x:c r="Y81" s="20"/>
      <x:c r="Z81" s="20"/>
      <x:c r="AA81" s="20"/>
      <x:c r="AB81" s="20"/>
      <x:c r="AC81" s="20" t="str">
        <x:f>IF(U81="","",U81+V81+X81+Y81+Z81+AA81+AB81)</x:f>
      </x:c>
      <x:c r="AD81" s="28"/>
      <x:c r="AE81" s="20" t="str">
        <x:f>IF(AD81="","",IF(AD81&gt;=1,18,IF(AD81&gt;=0.8,14,IF(AD81&gt;=0.6,9,4))))</x:f>
      </x:c>
      <x:c r="AF81" s="20"/>
      <x:c r="AG81" s="20"/>
      <x:c r="AH81" s="20"/>
      <x:c r="AI81" s="20"/>
      <x:c r="AJ81" s="20"/>
      <x:c r="AK81" s="20" t="str">
        <x:f>IF(AE81="","",AE81+AF81+AG81+AH81+AI81+AJ81)</x:f>
      </x:c>
      <x:c r="AL81" s="32" t="str">
        <x:f>IF(COUNT(M81,T81,AC81,AK81)=4,M81+T81+AC81+AK81,"")</x:f>
      </x:c>
      <x:c r="AM81" s="20" t="str">
        <x:f>IF(AL81="","",IF(AN81="有","重点关注",IF(AL81&gt;=80,"整体功能较好",IF(AL81&gt;=60,"轻度关注",IF(AL81&gt;=40,"中度关注","高度关注")))))</x:f>
      </x:c>
      <x:c r="AN81" s="20" t="str">
        <x:f>IF(OR(M81&lt;=15,T81&lt;=15,AC81&lt;=15,AK81&lt;=15,AD81&lt;0.6,N81&gt;20,U81=0,E81="是",F81&lt;&gt;"合格"),"有","无")</x:f>
        <x:v>有</x:v>
      </x:c>
      <x:c r="AO81" s="20" t="str">
        <x:f>IF(AL81="","",IF(AN81="有","存在红线或单项明显短板，建议重点关注并结合CGA/医生复核。",IF(AM81="整体功能较好","整体功能较好，建议维持运动并定期复测。",IF(AM81="轻度关注","存在部分功能短板，建议针对性训练与随访。",IF(AM81="中度关注","多项能力下降，建议进一步评估肌少症、衰弱或跌倒风险。","活动能力明显下降，建议临床评估与个体化干预。")))))</x:f>
      </x:c>
    </x:row>
    <x:row r="82">
      <x:c r="A82" s="20"/>
      <x:c r="B82" s="20"/>
      <x:c r="C82" s="20"/>
      <x:c r="D82" s="20"/>
      <x:c r="E82" s="20"/>
      <x:c r="F82" s="20"/>
      <x:c r="G82" s="30"/>
      <x:c r="H82" s="28" t="str">
        <x:f>IF(C82="男",G82/28,IF(C82="女",G82/18,""))</x:f>
      </x:c>
      <x:c r="I82" s="20" t="str">
        <x:f>IF(G82="","",IF(H82&gt;=1.1,18,IF(H82&gt;=1,15,IF(H82&gt;=0.85,11,IF(H82&gt;=0.7,7,3)))))</x:f>
      </x:c>
      <x:c r="J82" s="20"/>
      <x:c r="K82" s="20"/>
      <x:c r="L82" s="20"/>
      <x:c r="M82" s="20" t="str">
        <x:f>IF(I82="","",I82+J82+K82+L82)</x:f>
      </x:c>
      <x:c r="N82" s="30"/>
      <x:c r="O82" s="20" t="str">
        <x:f>IF(N82="","",IF(N82&lt;=10,18,IF(N82&lt;=12,15,IF(N82&lt;=15,10,IF(N82&lt;=20,5,2)))))</x:f>
      </x:c>
      <x:c r="P82" s="20"/>
      <x:c r="Q82" s="20"/>
      <x:c r="R82" s="20"/>
      <x:c r="S82" s="20"/>
      <x:c r="T82" s="20" t="str">
        <x:f>IF(O82="","",O82+P82+Q82+R82+S82)</x:f>
      </x:c>
      <x:c r="U82" s="20"/>
      <x:c r="V82" s="20"/>
      <x:c r="W82" s="30"/>
      <x:c r="X82" s="20" t="str">
        <x:f>IF(W82="","",IF(W82&lt;=10,3,IF(W82&lt;=15,2,IF(W82&lt;=20,1,0))))</x:f>
      </x:c>
      <x:c r="Y82" s="20"/>
      <x:c r="Z82" s="20"/>
      <x:c r="AA82" s="20"/>
      <x:c r="AB82" s="20"/>
      <x:c r="AC82" s="20" t="str">
        <x:f>IF(U82="","",U82+V82+X82+Y82+Z82+AA82+AB82)</x:f>
      </x:c>
      <x:c r="AD82" s="28"/>
      <x:c r="AE82" s="20" t="str">
        <x:f>IF(AD82="","",IF(AD82&gt;=1,18,IF(AD82&gt;=0.8,14,IF(AD82&gt;=0.6,9,4))))</x:f>
      </x:c>
      <x:c r="AF82" s="20"/>
      <x:c r="AG82" s="20"/>
      <x:c r="AH82" s="20"/>
      <x:c r="AI82" s="20"/>
      <x:c r="AJ82" s="20"/>
      <x:c r="AK82" s="20" t="str">
        <x:f>IF(AE82="","",AE82+AF82+AG82+AH82+AI82+AJ82)</x:f>
      </x:c>
      <x:c r="AL82" s="32" t="str">
        <x:f>IF(COUNT(M82,T82,AC82,AK82)=4,M82+T82+AC82+AK82,"")</x:f>
      </x:c>
      <x:c r="AM82" s="20" t="str">
        <x:f>IF(AL82="","",IF(AN82="有","重点关注",IF(AL82&gt;=80,"整体功能较好",IF(AL82&gt;=60,"轻度关注",IF(AL82&gt;=40,"中度关注","高度关注")))))</x:f>
      </x:c>
      <x:c r="AN82" s="20" t="str">
        <x:f>IF(OR(M82&lt;=15,T82&lt;=15,AC82&lt;=15,AK82&lt;=15,AD82&lt;0.6,N82&gt;20,U82=0,E82="是",F82&lt;&gt;"合格"),"有","无")</x:f>
        <x:v>有</x:v>
      </x:c>
      <x:c r="AO82" s="20" t="str">
        <x:f>IF(AL82="","",IF(AN82="有","存在红线或单项明显短板，建议重点关注并结合CGA/医生复核。",IF(AM82="整体功能较好","整体功能较好，建议维持运动并定期复测。",IF(AM82="轻度关注","存在部分功能短板，建议针对性训练与随访。",IF(AM82="中度关注","多项能力下降，建议进一步评估肌少症、衰弱或跌倒风险。","活动能力明显下降，建议临床评估与个体化干预。")))))</x:f>
      </x:c>
    </x:row>
    <x:row r="83">
      <x:c r="A83" s="20"/>
      <x:c r="B83" s="20"/>
      <x:c r="C83" s="20"/>
      <x:c r="D83" s="20"/>
      <x:c r="E83" s="20"/>
      <x:c r="F83" s="20"/>
      <x:c r="G83" s="30"/>
      <x:c r="H83" s="28" t="str">
        <x:f>IF(C83="男",G83/28,IF(C83="女",G83/18,""))</x:f>
      </x:c>
      <x:c r="I83" s="20" t="str">
        <x:f>IF(G83="","",IF(H83&gt;=1.1,18,IF(H83&gt;=1,15,IF(H83&gt;=0.85,11,IF(H83&gt;=0.7,7,3)))))</x:f>
      </x:c>
      <x:c r="J83" s="20"/>
      <x:c r="K83" s="20"/>
      <x:c r="L83" s="20"/>
      <x:c r="M83" s="20" t="str">
        <x:f>IF(I83="","",I83+J83+K83+L83)</x:f>
      </x:c>
      <x:c r="N83" s="30"/>
      <x:c r="O83" s="20" t="str">
        <x:f>IF(N83="","",IF(N83&lt;=10,18,IF(N83&lt;=12,15,IF(N83&lt;=15,10,IF(N83&lt;=20,5,2)))))</x:f>
      </x:c>
      <x:c r="P83" s="20"/>
      <x:c r="Q83" s="20"/>
      <x:c r="R83" s="20"/>
      <x:c r="S83" s="20"/>
      <x:c r="T83" s="20" t="str">
        <x:f>IF(O83="","",O83+P83+Q83+R83+S83)</x:f>
      </x:c>
      <x:c r="U83" s="20"/>
      <x:c r="V83" s="20"/>
      <x:c r="W83" s="30"/>
      <x:c r="X83" s="20" t="str">
        <x:f>IF(W83="","",IF(W83&lt;=10,3,IF(W83&lt;=15,2,IF(W83&lt;=20,1,0))))</x:f>
      </x:c>
      <x:c r="Y83" s="20"/>
      <x:c r="Z83" s="20"/>
      <x:c r="AA83" s="20"/>
      <x:c r="AB83" s="20"/>
      <x:c r="AC83" s="20" t="str">
        <x:f>IF(U83="","",U83+V83+X83+Y83+Z83+AA83+AB83)</x:f>
      </x:c>
      <x:c r="AD83" s="28"/>
      <x:c r="AE83" s="20" t="str">
        <x:f>IF(AD83="","",IF(AD83&gt;=1,18,IF(AD83&gt;=0.8,14,IF(AD83&gt;=0.6,9,4))))</x:f>
      </x:c>
      <x:c r="AF83" s="20"/>
      <x:c r="AG83" s="20"/>
      <x:c r="AH83" s="20"/>
      <x:c r="AI83" s="20"/>
      <x:c r="AJ83" s="20"/>
      <x:c r="AK83" s="20" t="str">
        <x:f>IF(AE83="","",AE83+AF83+AG83+AH83+AI83+AJ83)</x:f>
      </x:c>
      <x:c r="AL83" s="32" t="str">
        <x:f>IF(COUNT(M83,T83,AC83,AK83)=4,M83+T83+AC83+AK83,"")</x:f>
      </x:c>
      <x:c r="AM83" s="20" t="str">
        <x:f>IF(AL83="","",IF(AN83="有","重点关注",IF(AL83&gt;=80,"整体功能较好",IF(AL83&gt;=60,"轻度关注",IF(AL83&gt;=40,"中度关注","高度关注")))))</x:f>
      </x:c>
      <x:c r="AN83" s="20" t="str">
        <x:f>IF(OR(M83&lt;=15,T83&lt;=15,AC83&lt;=15,AK83&lt;=15,AD83&lt;0.6,N83&gt;20,U83=0,E83="是",F83&lt;&gt;"合格"),"有","无")</x:f>
        <x:v>有</x:v>
      </x:c>
      <x:c r="AO83" s="20" t="str">
        <x:f>IF(AL83="","",IF(AN83="有","存在红线或单项明显短板，建议重点关注并结合CGA/医生复核。",IF(AM83="整体功能较好","整体功能较好，建议维持运动并定期复测。",IF(AM83="轻度关注","存在部分功能短板，建议针对性训练与随访。",IF(AM83="中度关注","多项能力下降，建议进一步评估肌少症、衰弱或跌倒风险。","活动能力明显下降，建议临床评估与个体化干预。")))))</x:f>
      </x:c>
    </x:row>
    <x:row r="84">
      <x:c r="A84" s="20"/>
      <x:c r="B84" s="20"/>
      <x:c r="C84" s="20"/>
      <x:c r="D84" s="20"/>
      <x:c r="E84" s="20"/>
      <x:c r="F84" s="20"/>
      <x:c r="G84" s="30"/>
      <x:c r="H84" s="28" t="str">
        <x:f>IF(C84="男",G84/28,IF(C84="女",G84/18,""))</x:f>
      </x:c>
      <x:c r="I84" s="20" t="str">
        <x:f>IF(G84="","",IF(H84&gt;=1.1,18,IF(H84&gt;=1,15,IF(H84&gt;=0.85,11,IF(H84&gt;=0.7,7,3)))))</x:f>
      </x:c>
      <x:c r="J84" s="20"/>
      <x:c r="K84" s="20"/>
      <x:c r="L84" s="20"/>
      <x:c r="M84" s="20" t="str">
        <x:f>IF(I84="","",I84+J84+K84+L84)</x:f>
      </x:c>
      <x:c r="N84" s="30"/>
      <x:c r="O84" s="20" t="str">
        <x:f>IF(N84="","",IF(N84&lt;=10,18,IF(N84&lt;=12,15,IF(N84&lt;=15,10,IF(N84&lt;=20,5,2)))))</x:f>
      </x:c>
      <x:c r="P84" s="20"/>
      <x:c r="Q84" s="20"/>
      <x:c r="R84" s="20"/>
      <x:c r="S84" s="20"/>
      <x:c r="T84" s="20" t="str">
        <x:f>IF(O84="","",O84+P84+Q84+R84+S84)</x:f>
      </x:c>
      <x:c r="U84" s="20"/>
      <x:c r="V84" s="20"/>
      <x:c r="W84" s="30"/>
      <x:c r="X84" s="20" t="str">
        <x:f>IF(W84="","",IF(W84&lt;=10,3,IF(W84&lt;=15,2,IF(W84&lt;=20,1,0))))</x:f>
      </x:c>
      <x:c r="Y84" s="20"/>
      <x:c r="Z84" s="20"/>
      <x:c r="AA84" s="20"/>
      <x:c r="AB84" s="20"/>
      <x:c r="AC84" s="20" t="str">
        <x:f>IF(U84="","",U84+V84+X84+Y84+Z84+AA84+AB84)</x:f>
      </x:c>
      <x:c r="AD84" s="28"/>
      <x:c r="AE84" s="20" t="str">
        <x:f>IF(AD84="","",IF(AD84&gt;=1,18,IF(AD84&gt;=0.8,14,IF(AD84&gt;=0.6,9,4))))</x:f>
      </x:c>
      <x:c r="AF84" s="20"/>
      <x:c r="AG84" s="20"/>
      <x:c r="AH84" s="20"/>
      <x:c r="AI84" s="20"/>
      <x:c r="AJ84" s="20"/>
      <x:c r="AK84" s="20" t="str">
        <x:f>IF(AE84="","",AE84+AF84+AG84+AH84+AI84+AJ84)</x:f>
      </x:c>
      <x:c r="AL84" s="32" t="str">
        <x:f>IF(COUNT(M84,T84,AC84,AK84)=4,M84+T84+AC84+AK84,"")</x:f>
      </x:c>
      <x:c r="AM84" s="20" t="str">
        <x:f>IF(AL84="","",IF(AN84="有","重点关注",IF(AL84&gt;=80,"整体功能较好",IF(AL84&gt;=60,"轻度关注",IF(AL84&gt;=40,"中度关注","高度关注")))))</x:f>
      </x:c>
      <x:c r="AN84" s="20" t="str">
        <x:f>IF(OR(M84&lt;=15,T84&lt;=15,AC84&lt;=15,AK84&lt;=15,AD84&lt;0.6,N84&gt;20,U84=0,E84="是",F84&lt;&gt;"合格"),"有","无")</x:f>
        <x:v>有</x:v>
      </x:c>
      <x:c r="AO84" s="20" t="str">
        <x:f>IF(AL84="","",IF(AN84="有","存在红线或单项明显短板，建议重点关注并结合CGA/医生复核。",IF(AM84="整体功能较好","整体功能较好，建议维持运动并定期复测。",IF(AM84="轻度关注","存在部分功能短板，建议针对性训练与随访。",IF(AM84="中度关注","多项能力下降，建议进一步评估肌少症、衰弱或跌倒风险。","活动能力明显下降，建议临床评估与个体化干预。")))))</x:f>
      </x:c>
    </x:row>
    <x:row r="85">
      <x:c r="A85" s="20"/>
      <x:c r="B85" s="20"/>
      <x:c r="C85" s="20"/>
      <x:c r="D85" s="20"/>
      <x:c r="E85" s="20"/>
      <x:c r="F85" s="20"/>
      <x:c r="G85" s="30"/>
      <x:c r="H85" s="28" t="str">
        <x:f>IF(C85="男",G85/28,IF(C85="女",G85/18,""))</x:f>
      </x:c>
      <x:c r="I85" s="20" t="str">
        <x:f>IF(G85="","",IF(H85&gt;=1.1,18,IF(H85&gt;=1,15,IF(H85&gt;=0.85,11,IF(H85&gt;=0.7,7,3)))))</x:f>
      </x:c>
      <x:c r="J85" s="20"/>
      <x:c r="K85" s="20"/>
      <x:c r="L85" s="20"/>
      <x:c r="M85" s="20" t="str">
        <x:f>IF(I85="","",I85+J85+K85+L85)</x:f>
      </x:c>
      <x:c r="N85" s="30"/>
      <x:c r="O85" s="20" t="str">
        <x:f>IF(N85="","",IF(N85&lt;=10,18,IF(N85&lt;=12,15,IF(N85&lt;=15,10,IF(N85&lt;=20,5,2)))))</x:f>
      </x:c>
      <x:c r="P85" s="20"/>
      <x:c r="Q85" s="20"/>
      <x:c r="R85" s="20"/>
      <x:c r="S85" s="20"/>
      <x:c r="T85" s="20" t="str">
        <x:f>IF(O85="","",O85+P85+Q85+R85+S85)</x:f>
      </x:c>
      <x:c r="U85" s="20"/>
      <x:c r="V85" s="20"/>
      <x:c r="W85" s="30"/>
      <x:c r="X85" s="20" t="str">
        <x:f>IF(W85="","",IF(W85&lt;=10,3,IF(W85&lt;=15,2,IF(W85&lt;=20,1,0))))</x:f>
      </x:c>
      <x:c r="Y85" s="20"/>
      <x:c r="Z85" s="20"/>
      <x:c r="AA85" s="20"/>
      <x:c r="AB85" s="20"/>
      <x:c r="AC85" s="20" t="str">
        <x:f>IF(U85="","",U85+V85+X85+Y85+Z85+AA85+AB85)</x:f>
      </x:c>
      <x:c r="AD85" s="28"/>
      <x:c r="AE85" s="20" t="str">
        <x:f>IF(AD85="","",IF(AD85&gt;=1,18,IF(AD85&gt;=0.8,14,IF(AD85&gt;=0.6,9,4))))</x:f>
      </x:c>
      <x:c r="AF85" s="20"/>
      <x:c r="AG85" s="20"/>
      <x:c r="AH85" s="20"/>
      <x:c r="AI85" s="20"/>
      <x:c r="AJ85" s="20"/>
      <x:c r="AK85" s="20" t="str">
        <x:f>IF(AE85="","",AE85+AF85+AG85+AH85+AI85+AJ85)</x:f>
      </x:c>
      <x:c r="AL85" s="32" t="str">
        <x:f>IF(COUNT(M85,T85,AC85,AK85)=4,M85+T85+AC85+AK85,"")</x:f>
      </x:c>
      <x:c r="AM85" s="20" t="str">
        <x:f>IF(AL85="","",IF(AN85="有","重点关注",IF(AL85&gt;=80,"整体功能较好",IF(AL85&gt;=60,"轻度关注",IF(AL85&gt;=40,"中度关注","高度关注")))))</x:f>
      </x:c>
      <x:c r="AN85" s="20" t="str">
        <x:f>IF(OR(M85&lt;=15,T85&lt;=15,AC85&lt;=15,AK85&lt;=15,AD85&lt;0.6,N85&gt;20,U85=0,E85="是",F85&lt;&gt;"合格"),"有","无")</x:f>
        <x:v>有</x:v>
      </x:c>
      <x:c r="AO85" s="20" t="str">
        <x:f>IF(AL85="","",IF(AN85="有","存在红线或单项明显短板，建议重点关注并结合CGA/医生复核。",IF(AM85="整体功能较好","整体功能较好，建议维持运动并定期复测。",IF(AM85="轻度关注","存在部分功能短板，建议针对性训练与随访。",IF(AM85="中度关注","多项能力下降，建议进一步评估肌少症、衰弱或跌倒风险。","活动能力明显下降，建议临床评估与个体化干预。")))))</x:f>
      </x:c>
    </x:row>
    <x:row r="86">
      <x:c r="A86" s="20"/>
      <x:c r="B86" s="20"/>
      <x:c r="C86" s="20"/>
      <x:c r="D86" s="20"/>
      <x:c r="E86" s="20"/>
      <x:c r="F86" s="20"/>
      <x:c r="G86" s="30"/>
      <x:c r="H86" s="28" t="str">
        <x:f>IF(C86="男",G86/28,IF(C86="女",G86/18,""))</x:f>
      </x:c>
      <x:c r="I86" s="20" t="str">
        <x:f>IF(G86="","",IF(H86&gt;=1.1,18,IF(H86&gt;=1,15,IF(H86&gt;=0.85,11,IF(H86&gt;=0.7,7,3)))))</x:f>
      </x:c>
      <x:c r="J86" s="20"/>
      <x:c r="K86" s="20"/>
      <x:c r="L86" s="20"/>
      <x:c r="M86" s="20" t="str">
        <x:f>IF(I86="","",I86+J86+K86+L86)</x:f>
      </x:c>
      <x:c r="N86" s="30"/>
      <x:c r="O86" s="20" t="str">
        <x:f>IF(N86="","",IF(N86&lt;=10,18,IF(N86&lt;=12,15,IF(N86&lt;=15,10,IF(N86&lt;=20,5,2)))))</x:f>
      </x:c>
      <x:c r="P86" s="20"/>
      <x:c r="Q86" s="20"/>
      <x:c r="R86" s="20"/>
      <x:c r="S86" s="20"/>
      <x:c r="T86" s="20" t="str">
        <x:f>IF(O86="","",O86+P86+Q86+R86+S86)</x:f>
      </x:c>
      <x:c r="U86" s="20"/>
      <x:c r="V86" s="20"/>
      <x:c r="W86" s="30"/>
      <x:c r="X86" s="20" t="str">
        <x:f>IF(W86="","",IF(W86&lt;=10,3,IF(W86&lt;=15,2,IF(W86&lt;=20,1,0))))</x:f>
      </x:c>
      <x:c r="Y86" s="20"/>
      <x:c r="Z86" s="20"/>
      <x:c r="AA86" s="20"/>
      <x:c r="AB86" s="20"/>
      <x:c r="AC86" s="20" t="str">
        <x:f>IF(U86="","",U86+V86+X86+Y86+Z86+AA86+AB86)</x:f>
      </x:c>
      <x:c r="AD86" s="28"/>
      <x:c r="AE86" s="20" t="str">
        <x:f>IF(AD86="","",IF(AD86&gt;=1,18,IF(AD86&gt;=0.8,14,IF(AD86&gt;=0.6,9,4))))</x:f>
      </x:c>
      <x:c r="AF86" s="20"/>
      <x:c r="AG86" s="20"/>
      <x:c r="AH86" s="20"/>
      <x:c r="AI86" s="20"/>
      <x:c r="AJ86" s="20"/>
      <x:c r="AK86" s="20" t="str">
        <x:f>IF(AE86="","",AE86+AF86+AG86+AH86+AI86+AJ86)</x:f>
      </x:c>
      <x:c r="AL86" s="32" t="str">
        <x:f>IF(COUNT(M86,T86,AC86,AK86)=4,M86+T86+AC86+AK86,"")</x:f>
      </x:c>
      <x:c r="AM86" s="20" t="str">
        <x:f>IF(AL86="","",IF(AN86="有","重点关注",IF(AL86&gt;=80,"整体功能较好",IF(AL86&gt;=60,"轻度关注",IF(AL86&gt;=40,"中度关注","高度关注")))))</x:f>
      </x:c>
      <x:c r="AN86" s="20" t="str">
        <x:f>IF(OR(M86&lt;=15,T86&lt;=15,AC86&lt;=15,AK86&lt;=15,AD86&lt;0.6,N86&gt;20,U86=0,E86="是",F86&lt;&gt;"合格"),"有","无")</x:f>
        <x:v>有</x:v>
      </x:c>
      <x:c r="AO86" s="20" t="str">
        <x:f>IF(AL86="","",IF(AN86="有","存在红线或单项明显短板，建议重点关注并结合CGA/医生复核。",IF(AM86="整体功能较好","整体功能较好，建议维持运动并定期复测。",IF(AM86="轻度关注","存在部分功能短板，建议针对性训练与随访。",IF(AM86="中度关注","多项能力下降，建议进一步评估肌少症、衰弱或跌倒风险。","活动能力明显下降，建议临床评估与个体化干预。")))))</x:f>
      </x:c>
    </x:row>
    <x:row r="87">
      <x:c r="A87" s="20"/>
      <x:c r="B87" s="20"/>
      <x:c r="C87" s="20"/>
      <x:c r="D87" s="20"/>
      <x:c r="E87" s="20"/>
      <x:c r="F87" s="20"/>
      <x:c r="G87" s="30"/>
      <x:c r="H87" s="28" t="str">
        <x:f>IF(C87="男",G87/28,IF(C87="女",G87/18,""))</x:f>
      </x:c>
      <x:c r="I87" s="20" t="str">
        <x:f>IF(G87="","",IF(H87&gt;=1.1,18,IF(H87&gt;=1,15,IF(H87&gt;=0.85,11,IF(H87&gt;=0.7,7,3)))))</x:f>
      </x:c>
      <x:c r="J87" s="20"/>
      <x:c r="K87" s="20"/>
      <x:c r="L87" s="20"/>
      <x:c r="M87" s="20" t="str">
        <x:f>IF(I87="","",I87+J87+K87+L87)</x:f>
      </x:c>
      <x:c r="N87" s="30"/>
      <x:c r="O87" s="20" t="str">
        <x:f>IF(N87="","",IF(N87&lt;=10,18,IF(N87&lt;=12,15,IF(N87&lt;=15,10,IF(N87&lt;=20,5,2)))))</x:f>
      </x:c>
      <x:c r="P87" s="20"/>
      <x:c r="Q87" s="20"/>
      <x:c r="R87" s="20"/>
      <x:c r="S87" s="20"/>
      <x:c r="T87" s="20" t="str">
        <x:f>IF(O87="","",O87+P87+Q87+R87+S87)</x:f>
      </x:c>
      <x:c r="U87" s="20"/>
      <x:c r="V87" s="20"/>
      <x:c r="W87" s="30"/>
      <x:c r="X87" s="20" t="str">
        <x:f>IF(W87="","",IF(W87&lt;=10,3,IF(W87&lt;=15,2,IF(W87&lt;=20,1,0))))</x:f>
      </x:c>
      <x:c r="Y87" s="20"/>
      <x:c r="Z87" s="20"/>
      <x:c r="AA87" s="20"/>
      <x:c r="AB87" s="20"/>
      <x:c r="AC87" s="20" t="str">
        <x:f>IF(U87="","",U87+V87+X87+Y87+Z87+AA87+AB87)</x:f>
      </x:c>
      <x:c r="AD87" s="28"/>
      <x:c r="AE87" s="20" t="str">
        <x:f>IF(AD87="","",IF(AD87&gt;=1,18,IF(AD87&gt;=0.8,14,IF(AD87&gt;=0.6,9,4))))</x:f>
      </x:c>
      <x:c r="AF87" s="20"/>
      <x:c r="AG87" s="20"/>
      <x:c r="AH87" s="20"/>
      <x:c r="AI87" s="20"/>
      <x:c r="AJ87" s="20"/>
      <x:c r="AK87" s="20" t="str">
        <x:f>IF(AE87="","",AE87+AF87+AG87+AH87+AI87+AJ87)</x:f>
      </x:c>
      <x:c r="AL87" s="32" t="str">
        <x:f>IF(COUNT(M87,T87,AC87,AK87)=4,M87+T87+AC87+AK87,"")</x:f>
      </x:c>
      <x:c r="AM87" s="20" t="str">
        <x:f>IF(AL87="","",IF(AN87="有","重点关注",IF(AL87&gt;=80,"整体功能较好",IF(AL87&gt;=60,"轻度关注",IF(AL87&gt;=40,"中度关注","高度关注")))))</x:f>
      </x:c>
      <x:c r="AN87" s="20" t="str">
        <x:f>IF(OR(M87&lt;=15,T87&lt;=15,AC87&lt;=15,AK87&lt;=15,AD87&lt;0.6,N87&gt;20,U87=0,E87="是",F87&lt;&gt;"合格"),"有","无")</x:f>
        <x:v>有</x:v>
      </x:c>
      <x:c r="AO87" s="20" t="str">
        <x:f>IF(AL87="","",IF(AN87="有","存在红线或单项明显短板，建议重点关注并结合CGA/医生复核。",IF(AM87="整体功能较好","整体功能较好，建议维持运动并定期复测。",IF(AM87="轻度关注","存在部分功能短板，建议针对性训练与随访。",IF(AM87="中度关注","多项能力下降，建议进一步评估肌少症、衰弱或跌倒风险。","活动能力明显下降，建议临床评估与个体化干预。")))))</x:f>
      </x:c>
    </x:row>
    <x:row r="88">
      <x:c r="A88" s="20"/>
      <x:c r="B88" s="20"/>
      <x:c r="C88" s="20"/>
      <x:c r="D88" s="20"/>
      <x:c r="E88" s="20"/>
      <x:c r="F88" s="20"/>
      <x:c r="G88" s="30"/>
      <x:c r="H88" s="28" t="str">
        <x:f>IF(C88="男",G88/28,IF(C88="女",G88/18,""))</x:f>
      </x:c>
      <x:c r="I88" s="20" t="str">
        <x:f>IF(G88="","",IF(H88&gt;=1.1,18,IF(H88&gt;=1,15,IF(H88&gt;=0.85,11,IF(H88&gt;=0.7,7,3)))))</x:f>
      </x:c>
      <x:c r="J88" s="20"/>
      <x:c r="K88" s="20"/>
      <x:c r="L88" s="20"/>
      <x:c r="M88" s="20" t="str">
        <x:f>IF(I88="","",I88+J88+K88+L88)</x:f>
      </x:c>
      <x:c r="N88" s="30"/>
      <x:c r="O88" s="20" t="str">
        <x:f>IF(N88="","",IF(N88&lt;=10,18,IF(N88&lt;=12,15,IF(N88&lt;=15,10,IF(N88&lt;=20,5,2)))))</x:f>
      </x:c>
      <x:c r="P88" s="20"/>
      <x:c r="Q88" s="20"/>
      <x:c r="R88" s="20"/>
      <x:c r="S88" s="20"/>
      <x:c r="T88" s="20" t="str">
        <x:f>IF(O88="","",O88+P88+Q88+R88+S88)</x:f>
      </x:c>
      <x:c r="U88" s="20"/>
      <x:c r="V88" s="20"/>
      <x:c r="W88" s="30"/>
      <x:c r="X88" s="20" t="str">
        <x:f>IF(W88="","",IF(W88&lt;=10,3,IF(W88&lt;=15,2,IF(W88&lt;=20,1,0))))</x:f>
      </x:c>
      <x:c r="Y88" s="20"/>
      <x:c r="Z88" s="20"/>
      <x:c r="AA88" s="20"/>
      <x:c r="AB88" s="20"/>
      <x:c r="AC88" s="20" t="str">
        <x:f>IF(U88="","",U88+V88+X88+Y88+Z88+AA88+AB88)</x:f>
      </x:c>
      <x:c r="AD88" s="28"/>
      <x:c r="AE88" s="20" t="str">
        <x:f>IF(AD88="","",IF(AD88&gt;=1,18,IF(AD88&gt;=0.8,14,IF(AD88&gt;=0.6,9,4))))</x:f>
      </x:c>
      <x:c r="AF88" s="20"/>
      <x:c r="AG88" s="20"/>
      <x:c r="AH88" s="20"/>
      <x:c r="AI88" s="20"/>
      <x:c r="AJ88" s="20"/>
      <x:c r="AK88" s="20" t="str">
        <x:f>IF(AE88="","",AE88+AF88+AG88+AH88+AI88+AJ88)</x:f>
      </x:c>
      <x:c r="AL88" s="32" t="str">
        <x:f>IF(COUNT(M88,T88,AC88,AK88)=4,M88+T88+AC88+AK88,"")</x:f>
      </x:c>
      <x:c r="AM88" s="20" t="str">
        <x:f>IF(AL88="","",IF(AN88="有","重点关注",IF(AL88&gt;=80,"整体功能较好",IF(AL88&gt;=60,"轻度关注",IF(AL88&gt;=40,"中度关注","高度关注")))))</x:f>
      </x:c>
      <x:c r="AN88" s="20" t="str">
        <x:f>IF(OR(M88&lt;=15,T88&lt;=15,AC88&lt;=15,AK88&lt;=15,AD88&lt;0.6,N88&gt;20,U88=0,E88="是",F88&lt;&gt;"合格"),"有","无")</x:f>
        <x:v>有</x:v>
      </x:c>
      <x:c r="AO88" s="20" t="str">
        <x:f>IF(AL88="","",IF(AN88="有","存在红线或单项明显短板，建议重点关注并结合CGA/医生复核。",IF(AM88="整体功能较好","整体功能较好，建议维持运动并定期复测。",IF(AM88="轻度关注","存在部分功能短板，建议针对性训练与随访。",IF(AM88="中度关注","多项能力下降，建议进一步评估肌少症、衰弱或跌倒风险。","活动能力明显下降，建议临床评估与个体化干预。")))))</x:f>
      </x:c>
    </x:row>
    <x:row r="89">
      <x:c r="A89" s="20"/>
      <x:c r="B89" s="20"/>
      <x:c r="C89" s="20"/>
      <x:c r="D89" s="20"/>
      <x:c r="E89" s="20"/>
      <x:c r="F89" s="20"/>
      <x:c r="G89" s="30"/>
      <x:c r="H89" s="28" t="str">
        <x:f>IF(C89="男",G89/28,IF(C89="女",G89/18,""))</x:f>
      </x:c>
      <x:c r="I89" s="20" t="str">
        <x:f>IF(G89="","",IF(H89&gt;=1.1,18,IF(H89&gt;=1,15,IF(H89&gt;=0.85,11,IF(H89&gt;=0.7,7,3)))))</x:f>
      </x:c>
      <x:c r="J89" s="20"/>
      <x:c r="K89" s="20"/>
      <x:c r="L89" s="20"/>
      <x:c r="M89" s="20" t="str">
        <x:f>IF(I89="","",I89+J89+K89+L89)</x:f>
      </x:c>
      <x:c r="N89" s="30"/>
      <x:c r="O89" s="20" t="str">
        <x:f>IF(N89="","",IF(N89&lt;=10,18,IF(N89&lt;=12,15,IF(N89&lt;=15,10,IF(N89&lt;=20,5,2)))))</x:f>
      </x:c>
      <x:c r="P89" s="20"/>
      <x:c r="Q89" s="20"/>
      <x:c r="R89" s="20"/>
      <x:c r="S89" s="20"/>
      <x:c r="T89" s="20" t="str">
        <x:f>IF(O89="","",O89+P89+Q89+R89+S89)</x:f>
      </x:c>
      <x:c r="U89" s="20"/>
      <x:c r="V89" s="20"/>
      <x:c r="W89" s="30"/>
      <x:c r="X89" s="20" t="str">
        <x:f>IF(W89="","",IF(W89&lt;=10,3,IF(W89&lt;=15,2,IF(W89&lt;=20,1,0))))</x:f>
      </x:c>
      <x:c r="Y89" s="20"/>
      <x:c r="Z89" s="20"/>
      <x:c r="AA89" s="20"/>
      <x:c r="AB89" s="20"/>
      <x:c r="AC89" s="20" t="str">
        <x:f>IF(U89="","",U89+V89+X89+Y89+Z89+AA89+AB89)</x:f>
      </x:c>
      <x:c r="AD89" s="28"/>
      <x:c r="AE89" s="20" t="str">
        <x:f>IF(AD89="","",IF(AD89&gt;=1,18,IF(AD89&gt;=0.8,14,IF(AD89&gt;=0.6,9,4))))</x:f>
      </x:c>
      <x:c r="AF89" s="20"/>
      <x:c r="AG89" s="20"/>
      <x:c r="AH89" s="20"/>
      <x:c r="AI89" s="20"/>
      <x:c r="AJ89" s="20"/>
      <x:c r="AK89" s="20" t="str">
        <x:f>IF(AE89="","",AE89+AF89+AG89+AH89+AI89+AJ89)</x:f>
      </x:c>
      <x:c r="AL89" s="32" t="str">
        <x:f>IF(COUNT(M89,T89,AC89,AK89)=4,M89+T89+AC89+AK89,"")</x:f>
      </x:c>
      <x:c r="AM89" s="20" t="str">
        <x:f>IF(AL89="","",IF(AN89="有","重点关注",IF(AL89&gt;=80,"整体功能较好",IF(AL89&gt;=60,"轻度关注",IF(AL89&gt;=40,"中度关注","高度关注")))))</x:f>
      </x:c>
      <x:c r="AN89" s="20" t="str">
        <x:f>IF(OR(M89&lt;=15,T89&lt;=15,AC89&lt;=15,AK89&lt;=15,AD89&lt;0.6,N89&gt;20,U89=0,E89="是",F89&lt;&gt;"合格"),"有","无")</x:f>
        <x:v>有</x:v>
      </x:c>
      <x:c r="AO89" s="20" t="str">
        <x:f>IF(AL89="","",IF(AN89="有","存在红线或单项明显短板，建议重点关注并结合CGA/医生复核。",IF(AM89="整体功能较好","整体功能较好，建议维持运动并定期复测。",IF(AM89="轻度关注","存在部分功能短板，建议针对性训练与随访。",IF(AM89="中度关注","多项能力下降，建议进一步评估肌少症、衰弱或跌倒风险。","活动能力明显下降，建议临床评估与个体化干预。")))))</x:f>
      </x:c>
    </x:row>
    <x:row r="90">
      <x:c r="A90" s="20"/>
      <x:c r="B90" s="20"/>
      <x:c r="C90" s="20"/>
      <x:c r="D90" s="20"/>
      <x:c r="E90" s="20"/>
      <x:c r="F90" s="20"/>
      <x:c r="G90" s="30"/>
      <x:c r="H90" s="28" t="str">
        <x:f>IF(C90="男",G90/28,IF(C90="女",G90/18,""))</x:f>
      </x:c>
      <x:c r="I90" s="20" t="str">
        <x:f>IF(G90="","",IF(H90&gt;=1.1,18,IF(H90&gt;=1,15,IF(H90&gt;=0.85,11,IF(H90&gt;=0.7,7,3)))))</x:f>
      </x:c>
      <x:c r="J90" s="20"/>
      <x:c r="K90" s="20"/>
      <x:c r="L90" s="20"/>
      <x:c r="M90" s="20" t="str">
        <x:f>IF(I90="","",I90+J90+K90+L90)</x:f>
      </x:c>
      <x:c r="N90" s="30"/>
      <x:c r="O90" s="20" t="str">
        <x:f>IF(N90="","",IF(N90&lt;=10,18,IF(N90&lt;=12,15,IF(N90&lt;=15,10,IF(N90&lt;=20,5,2)))))</x:f>
      </x:c>
      <x:c r="P90" s="20"/>
      <x:c r="Q90" s="20"/>
      <x:c r="R90" s="20"/>
      <x:c r="S90" s="20"/>
      <x:c r="T90" s="20" t="str">
        <x:f>IF(O90="","",O90+P90+Q90+R90+S90)</x:f>
      </x:c>
      <x:c r="U90" s="20"/>
      <x:c r="V90" s="20"/>
      <x:c r="W90" s="30"/>
      <x:c r="X90" s="20" t="str">
        <x:f>IF(W90="","",IF(W90&lt;=10,3,IF(W90&lt;=15,2,IF(W90&lt;=20,1,0))))</x:f>
      </x:c>
      <x:c r="Y90" s="20"/>
      <x:c r="Z90" s="20"/>
      <x:c r="AA90" s="20"/>
      <x:c r="AB90" s="20"/>
      <x:c r="AC90" s="20" t="str">
        <x:f>IF(U90="","",U90+V90+X90+Y90+Z90+AA90+AB90)</x:f>
      </x:c>
      <x:c r="AD90" s="28"/>
      <x:c r="AE90" s="20" t="str">
        <x:f>IF(AD90="","",IF(AD90&gt;=1,18,IF(AD90&gt;=0.8,14,IF(AD90&gt;=0.6,9,4))))</x:f>
      </x:c>
      <x:c r="AF90" s="20"/>
      <x:c r="AG90" s="20"/>
      <x:c r="AH90" s="20"/>
      <x:c r="AI90" s="20"/>
      <x:c r="AJ90" s="20"/>
      <x:c r="AK90" s="20" t="str">
        <x:f>IF(AE90="","",AE90+AF90+AG90+AH90+AI90+AJ90)</x:f>
      </x:c>
      <x:c r="AL90" s="32" t="str">
        <x:f>IF(COUNT(M90,T90,AC90,AK90)=4,M90+T90+AC90+AK90,"")</x:f>
      </x:c>
      <x:c r="AM90" s="20" t="str">
        <x:f>IF(AL90="","",IF(AN90="有","重点关注",IF(AL90&gt;=80,"整体功能较好",IF(AL90&gt;=60,"轻度关注",IF(AL90&gt;=40,"中度关注","高度关注")))))</x:f>
      </x:c>
      <x:c r="AN90" s="20" t="str">
        <x:f>IF(OR(M90&lt;=15,T90&lt;=15,AC90&lt;=15,AK90&lt;=15,AD90&lt;0.6,N90&gt;20,U90=0,E90="是",F90&lt;&gt;"合格"),"有","无")</x:f>
        <x:v>有</x:v>
      </x:c>
      <x:c r="AO90" s="20" t="str">
        <x:f>IF(AL90="","",IF(AN90="有","存在红线或单项明显短板，建议重点关注并结合CGA/医生复核。",IF(AM90="整体功能较好","整体功能较好，建议维持运动并定期复测。",IF(AM90="轻度关注","存在部分功能短板，建议针对性训练与随访。",IF(AM90="中度关注","多项能力下降，建议进一步评估肌少症、衰弱或跌倒风险。","活动能力明显下降，建议临床评估与个体化干预。")))))</x:f>
      </x:c>
    </x:row>
    <x:row r="91">
      <x:c r="A91" s="20"/>
      <x:c r="B91" s="20"/>
      <x:c r="C91" s="20"/>
      <x:c r="D91" s="20"/>
      <x:c r="E91" s="20"/>
      <x:c r="F91" s="20"/>
      <x:c r="G91" s="30"/>
      <x:c r="H91" s="28" t="str">
        <x:f>IF(C91="男",G91/28,IF(C91="女",G91/18,""))</x:f>
      </x:c>
      <x:c r="I91" s="20" t="str">
        <x:f>IF(G91="","",IF(H91&gt;=1.1,18,IF(H91&gt;=1,15,IF(H91&gt;=0.85,11,IF(H91&gt;=0.7,7,3)))))</x:f>
      </x:c>
      <x:c r="J91" s="20"/>
      <x:c r="K91" s="20"/>
      <x:c r="L91" s="20"/>
      <x:c r="M91" s="20" t="str">
        <x:f>IF(I91="","",I91+J91+K91+L91)</x:f>
      </x:c>
      <x:c r="N91" s="30"/>
      <x:c r="O91" s="20" t="str">
        <x:f>IF(N91="","",IF(N91&lt;=10,18,IF(N91&lt;=12,15,IF(N91&lt;=15,10,IF(N91&lt;=20,5,2)))))</x:f>
      </x:c>
      <x:c r="P91" s="20"/>
      <x:c r="Q91" s="20"/>
      <x:c r="R91" s="20"/>
      <x:c r="S91" s="20"/>
      <x:c r="T91" s="20" t="str">
        <x:f>IF(O91="","",O91+P91+Q91+R91+S91)</x:f>
      </x:c>
      <x:c r="U91" s="20"/>
      <x:c r="V91" s="20"/>
      <x:c r="W91" s="30"/>
      <x:c r="X91" s="20" t="str">
        <x:f>IF(W91="","",IF(W91&lt;=10,3,IF(W91&lt;=15,2,IF(W91&lt;=20,1,0))))</x:f>
      </x:c>
      <x:c r="Y91" s="20"/>
      <x:c r="Z91" s="20"/>
      <x:c r="AA91" s="20"/>
      <x:c r="AB91" s="20"/>
      <x:c r="AC91" s="20" t="str">
        <x:f>IF(U91="","",U91+V91+X91+Y91+Z91+AA91+AB91)</x:f>
      </x:c>
      <x:c r="AD91" s="28"/>
      <x:c r="AE91" s="20" t="str">
        <x:f>IF(AD91="","",IF(AD91&gt;=1,18,IF(AD91&gt;=0.8,14,IF(AD91&gt;=0.6,9,4))))</x:f>
      </x:c>
      <x:c r="AF91" s="20"/>
      <x:c r="AG91" s="20"/>
      <x:c r="AH91" s="20"/>
      <x:c r="AI91" s="20"/>
      <x:c r="AJ91" s="20"/>
      <x:c r="AK91" s="20" t="str">
        <x:f>IF(AE91="","",AE91+AF91+AG91+AH91+AI91+AJ91)</x:f>
      </x:c>
      <x:c r="AL91" s="32" t="str">
        <x:f>IF(COUNT(M91,T91,AC91,AK91)=4,M91+T91+AC91+AK91,"")</x:f>
      </x:c>
      <x:c r="AM91" s="20" t="str">
        <x:f>IF(AL91="","",IF(AN91="有","重点关注",IF(AL91&gt;=80,"整体功能较好",IF(AL91&gt;=60,"轻度关注",IF(AL91&gt;=40,"中度关注","高度关注")))))</x:f>
      </x:c>
      <x:c r="AN91" s="20" t="str">
        <x:f>IF(OR(M91&lt;=15,T91&lt;=15,AC91&lt;=15,AK91&lt;=15,AD91&lt;0.6,N91&gt;20,U91=0,E91="是",F91&lt;&gt;"合格"),"有","无")</x:f>
        <x:v>有</x:v>
      </x:c>
      <x:c r="AO91" s="20" t="str">
        <x:f>IF(AL91="","",IF(AN91="有","存在红线或单项明显短板，建议重点关注并结合CGA/医生复核。",IF(AM91="整体功能较好","整体功能较好，建议维持运动并定期复测。",IF(AM91="轻度关注","存在部分功能短板，建议针对性训练与随访。",IF(AM91="中度关注","多项能力下降，建议进一步评估肌少症、衰弱或跌倒风险。","活动能力明显下降，建议临床评估与个体化干预。")))))</x:f>
      </x:c>
    </x:row>
    <x:row r="92">
      <x:c r="A92" s="20"/>
      <x:c r="B92" s="20"/>
      <x:c r="C92" s="20"/>
      <x:c r="D92" s="20"/>
      <x:c r="E92" s="20"/>
      <x:c r="F92" s="20"/>
      <x:c r="G92" s="30"/>
      <x:c r="H92" s="28" t="str">
        <x:f>IF(C92="男",G92/28,IF(C92="女",G92/18,""))</x:f>
      </x:c>
      <x:c r="I92" s="20" t="str">
        <x:f>IF(G92="","",IF(H92&gt;=1.1,18,IF(H92&gt;=1,15,IF(H92&gt;=0.85,11,IF(H92&gt;=0.7,7,3)))))</x:f>
      </x:c>
      <x:c r="J92" s="20"/>
      <x:c r="K92" s="20"/>
      <x:c r="L92" s="20"/>
      <x:c r="M92" s="20" t="str">
        <x:f>IF(I92="","",I92+J92+K92+L92)</x:f>
      </x:c>
      <x:c r="N92" s="30"/>
      <x:c r="O92" s="20" t="str">
        <x:f>IF(N92="","",IF(N92&lt;=10,18,IF(N92&lt;=12,15,IF(N92&lt;=15,10,IF(N92&lt;=20,5,2)))))</x:f>
      </x:c>
      <x:c r="P92" s="20"/>
      <x:c r="Q92" s="20"/>
      <x:c r="R92" s="20"/>
      <x:c r="S92" s="20"/>
      <x:c r="T92" s="20" t="str">
        <x:f>IF(O92="","",O92+P92+Q92+R92+S92)</x:f>
      </x:c>
      <x:c r="U92" s="20"/>
      <x:c r="V92" s="20"/>
      <x:c r="W92" s="30"/>
      <x:c r="X92" s="20" t="str">
        <x:f>IF(W92="","",IF(W92&lt;=10,3,IF(W92&lt;=15,2,IF(W92&lt;=20,1,0))))</x:f>
      </x:c>
      <x:c r="Y92" s="20"/>
      <x:c r="Z92" s="20"/>
      <x:c r="AA92" s="20"/>
      <x:c r="AB92" s="20"/>
      <x:c r="AC92" s="20" t="str">
        <x:f>IF(U92="","",U92+V92+X92+Y92+Z92+AA92+AB92)</x:f>
      </x:c>
      <x:c r="AD92" s="28"/>
      <x:c r="AE92" s="20" t="str">
        <x:f>IF(AD92="","",IF(AD92&gt;=1,18,IF(AD92&gt;=0.8,14,IF(AD92&gt;=0.6,9,4))))</x:f>
      </x:c>
      <x:c r="AF92" s="20"/>
      <x:c r="AG92" s="20"/>
      <x:c r="AH92" s="20"/>
      <x:c r="AI92" s="20"/>
      <x:c r="AJ92" s="20"/>
      <x:c r="AK92" s="20" t="str">
        <x:f>IF(AE92="","",AE92+AF92+AG92+AH92+AI92+AJ92)</x:f>
      </x:c>
      <x:c r="AL92" s="32" t="str">
        <x:f>IF(COUNT(M92,T92,AC92,AK92)=4,M92+T92+AC92+AK92,"")</x:f>
      </x:c>
      <x:c r="AM92" s="20" t="str">
        <x:f>IF(AL92="","",IF(AN92="有","重点关注",IF(AL92&gt;=80,"整体功能较好",IF(AL92&gt;=60,"轻度关注",IF(AL92&gt;=40,"中度关注","高度关注")))))</x:f>
      </x:c>
      <x:c r="AN92" s="20" t="str">
        <x:f>IF(OR(M92&lt;=15,T92&lt;=15,AC92&lt;=15,AK92&lt;=15,AD92&lt;0.6,N92&gt;20,U92=0,E92="是",F92&lt;&gt;"合格"),"有","无")</x:f>
        <x:v>有</x:v>
      </x:c>
      <x:c r="AO92" s="20" t="str">
        <x:f>IF(AL92="","",IF(AN92="有","存在红线或单项明显短板，建议重点关注并结合CGA/医生复核。",IF(AM92="整体功能较好","整体功能较好，建议维持运动并定期复测。",IF(AM92="轻度关注","存在部分功能短板，建议针对性训练与随访。",IF(AM92="中度关注","多项能力下降，建议进一步评估肌少症、衰弱或跌倒风险。","活动能力明显下降，建议临床评估与个体化干预。")))))</x:f>
      </x:c>
    </x:row>
    <x:row r="93">
      <x:c r="A93" s="20"/>
      <x:c r="B93" s="20"/>
      <x:c r="C93" s="20"/>
      <x:c r="D93" s="20"/>
      <x:c r="E93" s="20"/>
      <x:c r="F93" s="20"/>
      <x:c r="G93" s="30"/>
      <x:c r="H93" s="28" t="str">
        <x:f>IF(C93="男",G93/28,IF(C93="女",G93/18,""))</x:f>
      </x:c>
      <x:c r="I93" s="20" t="str">
        <x:f>IF(G93="","",IF(H93&gt;=1.1,18,IF(H93&gt;=1,15,IF(H93&gt;=0.85,11,IF(H93&gt;=0.7,7,3)))))</x:f>
      </x:c>
      <x:c r="J93" s="20"/>
      <x:c r="K93" s="20"/>
      <x:c r="L93" s="20"/>
      <x:c r="M93" s="20" t="str">
        <x:f>IF(I93="","",I93+J93+K93+L93)</x:f>
      </x:c>
      <x:c r="N93" s="30"/>
      <x:c r="O93" s="20" t="str">
        <x:f>IF(N93="","",IF(N93&lt;=10,18,IF(N93&lt;=12,15,IF(N93&lt;=15,10,IF(N93&lt;=20,5,2)))))</x:f>
      </x:c>
      <x:c r="P93" s="20"/>
      <x:c r="Q93" s="20"/>
      <x:c r="R93" s="20"/>
      <x:c r="S93" s="20"/>
      <x:c r="T93" s="20" t="str">
        <x:f>IF(O93="","",O93+P93+Q93+R93+S93)</x:f>
      </x:c>
      <x:c r="U93" s="20"/>
      <x:c r="V93" s="20"/>
      <x:c r="W93" s="30"/>
      <x:c r="X93" s="20" t="str">
        <x:f>IF(W93="","",IF(W93&lt;=10,3,IF(W93&lt;=15,2,IF(W93&lt;=20,1,0))))</x:f>
      </x:c>
      <x:c r="Y93" s="20"/>
      <x:c r="Z93" s="20"/>
      <x:c r="AA93" s="20"/>
      <x:c r="AB93" s="20"/>
      <x:c r="AC93" s="20" t="str">
        <x:f>IF(U93="","",U93+V93+X93+Y93+Z93+AA93+AB93)</x:f>
      </x:c>
      <x:c r="AD93" s="28"/>
      <x:c r="AE93" s="20" t="str">
        <x:f>IF(AD93="","",IF(AD93&gt;=1,18,IF(AD93&gt;=0.8,14,IF(AD93&gt;=0.6,9,4))))</x:f>
      </x:c>
      <x:c r="AF93" s="20"/>
      <x:c r="AG93" s="20"/>
      <x:c r="AH93" s="20"/>
      <x:c r="AI93" s="20"/>
      <x:c r="AJ93" s="20"/>
      <x:c r="AK93" s="20" t="str">
        <x:f>IF(AE93="","",AE93+AF93+AG93+AH93+AI93+AJ93)</x:f>
      </x:c>
      <x:c r="AL93" s="32" t="str">
        <x:f>IF(COUNT(M93,T93,AC93,AK93)=4,M93+T93+AC93+AK93,"")</x:f>
      </x:c>
      <x:c r="AM93" s="20" t="str">
        <x:f>IF(AL93="","",IF(AN93="有","重点关注",IF(AL93&gt;=80,"整体功能较好",IF(AL93&gt;=60,"轻度关注",IF(AL93&gt;=40,"中度关注","高度关注")))))</x:f>
      </x:c>
      <x:c r="AN93" s="20" t="str">
        <x:f>IF(OR(M93&lt;=15,T93&lt;=15,AC93&lt;=15,AK93&lt;=15,AD93&lt;0.6,N93&gt;20,U93=0,E93="是",F93&lt;&gt;"合格"),"有","无")</x:f>
        <x:v>有</x:v>
      </x:c>
      <x:c r="AO93" s="20" t="str">
        <x:f>IF(AL93="","",IF(AN93="有","存在红线或单项明显短板，建议重点关注并结合CGA/医生复核。",IF(AM93="整体功能较好","整体功能较好，建议维持运动并定期复测。",IF(AM93="轻度关注","存在部分功能短板，建议针对性训练与随访。",IF(AM93="中度关注","多项能力下降，建议进一步评估肌少症、衰弱或跌倒风险。","活动能力明显下降，建议临床评估与个体化干预。")))))</x:f>
      </x:c>
    </x:row>
    <x:row r="94">
      <x:c r="A94" s="20"/>
      <x:c r="B94" s="20"/>
      <x:c r="C94" s="20"/>
      <x:c r="D94" s="20"/>
      <x:c r="E94" s="20"/>
      <x:c r="F94" s="20"/>
      <x:c r="G94" s="30"/>
      <x:c r="H94" s="28" t="str">
        <x:f>IF(C94="男",G94/28,IF(C94="女",G94/18,""))</x:f>
      </x:c>
      <x:c r="I94" s="20" t="str">
        <x:f>IF(G94="","",IF(H94&gt;=1.1,18,IF(H94&gt;=1,15,IF(H94&gt;=0.85,11,IF(H94&gt;=0.7,7,3)))))</x:f>
      </x:c>
      <x:c r="J94" s="20"/>
      <x:c r="K94" s="20"/>
      <x:c r="L94" s="20"/>
      <x:c r="M94" s="20" t="str">
        <x:f>IF(I94="","",I94+J94+K94+L94)</x:f>
      </x:c>
      <x:c r="N94" s="30"/>
      <x:c r="O94" s="20" t="str">
        <x:f>IF(N94="","",IF(N94&lt;=10,18,IF(N94&lt;=12,15,IF(N94&lt;=15,10,IF(N94&lt;=20,5,2)))))</x:f>
      </x:c>
      <x:c r="P94" s="20"/>
      <x:c r="Q94" s="20"/>
      <x:c r="R94" s="20"/>
      <x:c r="S94" s="20"/>
      <x:c r="T94" s="20" t="str">
        <x:f>IF(O94="","",O94+P94+Q94+R94+S94)</x:f>
      </x:c>
      <x:c r="U94" s="20"/>
      <x:c r="V94" s="20"/>
      <x:c r="W94" s="30"/>
      <x:c r="X94" s="20" t="str">
        <x:f>IF(W94="","",IF(W94&lt;=10,3,IF(W94&lt;=15,2,IF(W94&lt;=20,1,0))))</x:f>
      </x:c>
      <x:c r="Y94" s="20"/>
      <x:c r="Z94" s="20"/>
      <x:c r="AA94" s="20"/>
      <x:c r="AB94" s="20"/>
      <x:c r="AC94" s="20" t="str">
        <x:f>IF(U94="","",U94+V94+X94+Y94+Z94+AA94+AB94)</x:f>
      </x:c>
      <x:c r="AD94" s="28"/>
      <x:c r="AE94" s="20" t="str">
        <x:f>IF(AD94="","",IF(AD94&gt;=1,18,IF(AD94&gt;=0.8,14,IF(AD94&gt;=0.6,9,4))))</x:f>
      </x:c>
      <x:c r="AF94" s="20"/>
      <x:c r="AG94" s="20"/>
      <x:c r="AH94" s="20"/>
      <x:c r="AI94" s="20"/>
      <x:c r="AJ94" s="20"/>
      <x:c r="AK94" s="20" t="str">
        <x:f>IF(AE94="","",AE94+AF94+AG94+AH94+AI94+AJ94)</x:f>
      </x:c>
      <x:c r="AL94" s="32" t="str">
        <x:f>IF(COUNT(M94,T94,AC94,AK94)=4,M94+T94+AC94+AK94,"")</x:f>
      </x:c>
      <x:c r="AM94" s="20" t="str">
        <x:f>IF(AL94="","",IF(AN94="有","重点关注",IF(AL94&gt;=80,"整体功能较好",IF(AL94&gt;=60,"轻度关注",IF(AL94&gt;=40,"中度关注","高度关注")))))</x:f>
      </x:c>
      <x:c r="AN94" s="20" t="str">
        <x:f>IF(OR(M94&lt;=15,T94&lt;=15,AC94&lt;=15,AK94&lt;=15,AD94&lt;0.6,N94&gt;20,U94=0,E94="是",F94&lt;&gt;"合格"),"有","无")</x:f>
        <x:v>有</x:v>
      </x:c>
      <x:c r="AO94" s="20" t="str">
        <x:f>IF(AL94="","",IF(AN94="有","存在红线或单项明显短板，建议重点关注并结合CGA/医生复核。",IF(AM94="整体功能较好","整体功能较好，建议维持运动并定期复测。",IF(AM94="轻度关注","存在部分功能短板，建议针对性训练与随访。",IF(AM94="中度关注","多项能力下降，建议进一步评估肌少症、衰弱或跌倒风险。","活动能力明显下降，建议临床评估与个体化干预。")))))</x:f>
      </x:c>
    </x:row>
    <x:row r="95">
      <x:c r="A95" s="20"/>
      <x:c r="B95" s="20"/>
      <x:c r="C95" s="20"/>
      <x:c r="D95" s="20"/>
      <x:c r="E95" s="20"/>
      <x:c r="F95" s="20"/>
      <x:c r="G95" s="30"/>
      <x:c r="H95" s="28" t="str">
        <x:f>IF(C95="男",G95/28,IF(C95="女",G95/18,""))</x:f>
      </x:c>
      <x:c r="I95" s="20" t="str">
        <x:f>IF(G95="","",IF(H95&gt;=1.1,18,IF(H95&gt;=1,15,IF(H95&gt;=0.85,11,IF(H95&gt;=0.7,7,3)))))</x:f>
      </x:c>
      <x:c r="J95" s="20"/>
      <x:c r="K95" s="20"/>
      <x:c r="L95" s="20"/>
      <x:c r="M95" s="20" t="str">
        <x:f>IF(I95="","",I95+J95+K95+L95)</x:f>
      </x:c>
      <x:c r="N95" s="30"/>
      <x:c r="O95" s="20" t="str">
        <x:f>IF(N95="","",IF(N95&lt;=10,18,IF(N95&lt;=12,15,IF(N95&lt;=15,10,IF(N95&lt;=20,5,2)))))</x:f>
      </x:c>
      <x:c r="P95" s="20"/>
      <x:c r="Q95" s="20"/>
      <x:c r="R95" s="20"/>
      <x:c r="S95" s="20"/>
      <x:c r="T95" s="20" t="str">
        <x:f>IF(O95="","",O95+P95+Q95+R95+S95)</x:f>
      </x:c>
      <x:c r="U95" s="20"/>
      <x:c r="V95" s="20"/>
      <x:c r="W95" s="30"/>
      <x:c r="X95" s="20" t="str">
        <x:f>IF(W95="","",IF(W95&lt;=10,3,IF(W95&lt;=15,2,IF(W95&lt;=20,1,0))))</x:f>
      </x:c>
      <x:c r="Y95" s="20"/>
      <x:c r="Z95" s="20"/>
      <x:c r="AA95" s="20"/>
      <x:c r="AB95" s="20"/>
      <x:c r="AC95" s="20" t="str">
        <x:f>IF(U95="","",U95+V95+X95+Y95+Z95+AA95+AB95)</x:f>
      </x:c>
      <x:c r="AD95" s="28"/>
      <x:c r="AE95" s="20" t="str">
        <x:f>IF(AD95="","",IF(AD95&gt;=1,18,IF(AD95&gt;=0.8,14,IF(AD95&gt;=0.6,9,4))))</x:f>
      </x:c>
      <x:c r="AF95" s="20"/>
      <x:c r="AG95" s="20"/>
      <x:c r="AH95" s="20"/>
      <x:c r="AI95" s="20"/>
      <x:c r="AJ95" s="20"/>
      <x:c r="AK95" s="20" t="str">
        <x:f>IF(AE95="","",AE95+AF95+AG95+AH95+AI95+AJ95)</x:f>
      </x:c>
      <x:c r="AL95" s="32" t="str">
        <x:f>IF(COUNT(M95,T95,AC95,AK95)=4,M95+T95+AC95+AK95,"")</x:f>
      </x:c>
      <x:c r="AM95" s="20" t="str">
        <x:f>IF(AL95="","",IF(AN95="有","重点关注",IF(AL95&gt;=80,"整体功能较好",IF(AL95&gt;=60,"轻度关注",IF(AL95&gt;=40,"中度关注","高度关注")))))</x:f>
      </x:c>
      <x:c r="AN95" s="20" t="str">
        <x:f>IF(OR(M95&lt;=15,T95&lt;=15,AC95&lt;=15,AK95&lt;=15,AD95&lt;0.6,N95&gt;20,U95=0,E95="是",F95&lt;&gt;"合格"),"有","无")</x:f>
        <x:v>有</x:v>
      </x:c>
      <x:c r="AO95" s="20" t="str">
        <x:f>IF(AL95="","",IF(AN95="有","存在红线或单项明显短板，建议重点关注并结合CGA/医生复核。",IF(AM95="整体功能较好","整体功能较好，建议维持运动并定期复测。",IF(AM95="轻度关注","存在部分功能短板，建议针对性训练与随访。",IF(AM95="中度关注","多项能力下降，建议进一步评估肌少症、衰弱或跌倒风险。","活动能力明显下降，建议临床评估与个体化干预。")))))</x:f>
      </x:c>
    </x:row>
    <x:row r="96">
      <x:c r="A96" s="20"/>
      <x:c r="B96" s="20"/>
      <x:c r="C96" s="20"/>
      <x:c r="D96" s="20"/>
      <x:c r="E96" s="20"/>
      <x:c r="F96" s="20"/>
      <x:c r="G96" s="30"/>
      <x:c r="H96" s="28" t="str">
        <x:f>IF(C96="男",G96/28,IF(C96="女",G96/18,""))</x:f>
      </x:c>
      <x:c r="I96" s="20" t="str">
        <x:f>IF(G96="","",IF(H96&gt;=1.1,18,IF(H96&gt;=1,15,IF(H96&gt;=0.85,11,IF(H96&gt;=0.7,7,3)))))</x:f>
      </x:c>
      <x:c r="J96" s="20"/>
      <x:c r="K96" s="20"/>
      <x:c r="L96" s="20"/>
      <x:c r="M96" s="20" t="str">
        <x:f>IF(I96="","",I96+J96+K96+L96)</x:f>
      </x:c>
      <x:c r="N96" s="30"/>
      <x:c r="O96" s="20" t="str">
        <x:f>IF(N96="","",IF(N96&lt;=10,18,IF(N96&lt;=12,15,IF(N96&lt;=15,10,IF(N96&lt;=20,5,2)))))</x:f>
      </x:c>
      <x:c r="P96" s="20"/>
      <x:c r="Q96" s="20"/>
      <x:c r="R96" s="20"/>
      <x:c r="S96" s="20"/>
      <x:c r="T96" s="20" t="str">
        <x:f>IF(O96="","",O96+P96+Q96+R96+S96)</x:f>
      </x:c>
      <x:c r="U96" s="20"/>
      <x:c r="V96" s="20"/>
      <x:c r="W96" s="30"/>
      <x:c r="X96" s="20" t="str">
        <x:f>IF(W96="","",IF(W96&lt;=10,3,IF(W96&lt;=15,2,IF(W96&lt;=20,1,0))))</x:f>
      </x:c>
      <x:c r="Y96" s="20"/>
      <x:c r="Z96" s="20"/>
      <x:c r="AA96" s="20"/>
      <x:c r="AB96" s="20"/>
      <x:c r="AC96" s="20" t="str">
        <x:f>IF(U96="","",U96+V96+X96+Y96+Z96+AA96+AB96)</x:f>
      </x:c>
      <x:c r="AD96" s="28"/>
      <x:c r="AE96" s="20" t="str">
        <x:f>IF(AD96="","",IF(AD96&gt;=1,18,IF(AD96&gt;=0.8,14,IF(AD96&gt;=0.6,9,4))))</x:f>
      </x:c>
      <x:c r="AF96" s="20"/>
      <x:c r="AG96" s="20"/>
      <x:c r="AH96" s="20"/>
      <x:c r="AI96" s="20"/>
      <x:c r="AJ96" s="20"/>
      <x:c r="AK96" s="20" t="str">
        <x:f>IF(AE96="","",AE96+AF96+AG96+AH96+AI96+AJ96)</x:f>
      </x:c>
      <x:c r="AL96" s="32" t="str">
        <x:f>IF(COUNT(M96,T96,AC96,AK96)=4,M96+T96+AC96+AK96,"")</x:f>
      </x:c>
      <x:c r="AM96" s="20" t="str">
        <x:f>IF(AL96="","",IF(AN96="有","重点关注",IF(AL96&gt;=80,"整体功能较好",IF(AL96&gt;=60,"轻度关注",IF(AL96&gt;=40,"中度关注","高度关注")))))</x:f>
      </x:c>
      <x:c r="AN96" s="20" t="str">
        <x:f>IF(OR(M96&lt;=15,T96&lt;=15,AC96&lt;=15,AK96&lt;=15,AD96&lt;0.6,N96&gt;20,U96=0,E96="是",F96&lt;&gt;"合格"),"有","无")</x:f>
        <x:v>有</x:v>
      </x:c>
      <x:c r="AO96" s="20" t="str">
        <x:f>IF(AL96="","",IF(AN96="有","存在红线或单项明显短板，建议重点关注并结合CGA/医生复核。",IF(AM96="整体功能较好","整体功能较好，建议维持运动并定期复测。",IF(AM96="轻度关注","存在部分功能短板，建议针对性训练与随访。",IF(AM96="中度关注","多项能力下降，建议进一步评估肌少症、衰弱或跌倒风险。","活动能力明显下降，建议临床评估与个体化干预。")))))</x:f>
      </x:c>
    </x:row>
    <x:row r="97">
      <x:c r="A97" s="20"/>
      <x:c r="B97" s="20"/>
      <x:c r="C97" s="20"/>
      <x:c r="D97" s="20"/>
      <x:c r="E97" s="20"/>
      <x:c r="F97" s="20"/>
      <x:c r="G97" s="30"/>
      <x:c r="H97" s="28" t="str">
        <x:f>IF(C97="男",G97/28,IF(C97="女",G97/18,""))</x:f>
      </x:c>
      <x:c r="I97" s="20" t="str">
        <x:f>IF(G97="","",IF(H97&gt;=1.1,18,IF(H97&gt;=1,15,IF(H97&gt;=0.85,11,IF(H97&gt;=0.7,7,3)))))</x:f>
      </x:c>
      <x:c r="J97" s="20"/>
      <x:c r="K97" s="20"/>
      <x:c r="L97" s="20"/>
      <x:c r="M97" s="20" t="str">
        <x:f>IF(I97="","",I97+J97+K97+L97)</x:f>
      </x:c>
      <x:c r="N97" s="30"/>
      <x:c r="O97" s="20" t="str">
        <x:f>IF(N97="","",IF(N97&lt;=10,18,IF(N97&lt;=12,15,IF(N97&lt;=15,10,IF(N97&lt;=20,5,2)))))</x:f>
      </x:c>
      <x:c r="P97" s="20"/>
      <x:c r="Q97" s="20"/>
      <x:c r="R97" s="20"/>
      <x:c r="S97" s="20"/>
      <x:c r="T97" s="20" t="str">
        <x:f>IF(O97="","",O97+P97+Q97+R97+S97)</x:f>
      </x:c>
      <x:c r="U97" s="20"/>
      <x:c r="V97" s="20"/>
      <x:c r="W97" s="30"/>
      <x:c r="X97" s="20" t="str">
        <x:f>IF(W97="","",IF(W97&lt;=10,3,IF(W97&lt;=15,2,IF(W97&lt;=20,1,0))))</x:f>
      </x:c>
      <x:c r="Y97" s="20"/>
      <x:c r="Z97" s="20"/>
      <x:c r="AA97" s="20"/>
      <x:c r="AB97" s="20"/>
      <x:c r="AC97" s="20" t="str">
        <x:f>IF(U97="","",U97+V97+X97+Y97+Z97+AA97+AB97)</x:f>
      </x:c>
      <x:c r="AD97" s="28"/>
      <x:c r="AE97" s="20" t="str">
        <x:f>IF(AD97="","",IF(AD97&gt;=1,18,IF(AD97&gt;=0.8,14,IF(AD97&gt;=0.6,9,4))))</x:f>
      </x:c>
      <x:c r="AF97" s="20"/>
      <x:c r="AG97" s="20"/>
      <x:c r="AH97" s="20"/>
      <x:c r="AI97" s="20"/>
      <x:c r="AJ97" s="20"/>
      <x:c r="AK97" s="20" t="str">
        <x:f>IF(AE97="","",AE97+AF97+AG97+AH97+AI97+AJ97)</x:f>
      </x:c>
      <x:c r="AL97" s="32" t="str">
        <x:f>IF(COUNT(M97,T97,AC97,AK97)=4,M97+T97+AC97+AK97,"")</x:f>
      </x:c>
      <x:c r="AM97" s="20" t="str">
        <x:f>IF(AL97="","",IF(AN97="有","重点关注",IF(AL97&gt;=80,"整体功能较好",IF(AL97&gt;=60,"轻度关注",IF(AL97&gt;=40,"中度关注","高度关注")))))</x:f>
      </x:c>
      <x:c r="AN97" s="20" t="str">
        <x:f>IF(OR(M97&lt;=15,T97&lt;=15,AC97&lt;=15,AK97&lt;=15,AD97&lt;0.6,N97&gt;20,U97=0,E97="是",F97&lt;&gt;"合格"),"有","无")</x:f>
        <x:v>有</x:v>
      </x:c>
      <x:c r="AO97" s="20" t="str">
        <x:f>IF(AL97="","",IF(AN97="有","存在红线或单项明显短板，建议重点关注并结合CGA/医生复核。",IF(AM97="整体功能较好","整体功能较好，建议维持运动并定期复测。",IF(AM97="轻度关注","存在部分功能短板，建议针对性训练与随访。",IF(AM97="中度关注","多项能力下降，建议进一步评估肌少症、衰弱或跌倒风险。","活动能力明显下降，建议临床评估与个体化干预。")))))</x:f>
      </x:c>
    </x:row>
    <x:row r="98">
      <x:c r="A98" s="20"/>
      <x:c r="B98" s="20"/>
      <x:c r="C98" s="20"/>
      <x:c r="D98" s="20"/>
      <x:c r="E98" s="20"/>
      <x:c r="F98" s="20"/>
      <x:c r="G98" s="30"/>
      <x:c r="H98" s="28" t="str">
        <x:f>IF(C98="男",G98/28,IF(C98="女",G98/18,""))</x:f>
      </x:c>
      <x:c r="I98" s="20" t="str">
        <x:f>IF(G98="","",IF(H98&gt;=1.1,18,IF(H98&gt;=1,15,IF(H98&gt;=0.85,11,IF(H98&gt;=0.7,7,3)))))</x:f>
      </x:c>
      <x:c r="J98" s="20"/>
      <x:c r="K98" s="20"/>
      <x:c r="L98" s="20"/>
      <x:c r="M98" s="20" t="str">
        <x:f>IF(I98="","",I98+J98+K98+L98)</x:f>
      </x:c>
      <x:c r="N98" s="30"/>
      <x:c r="O98" s="20" t="str">
        <x:f>IF(N98="","",IF(N98&lt;=10,18,IF(N98&lt;=12,15,IF(N98&lt;=15,10,IF(N98&lt;=20,5,2)))))</x:f>
      </x:c>
      <x:c r="P98" s="20"/>
      <x:c r="Q98" s="20"/>
      <x:c r="R98" s="20"/>
      <x:c r="S98" s="20"/>
      <x:c r="T98" s="20" t="str">
        <x:f>IF(O98="","",O98+P98+Q98+R98+S98)</x:f>
      </x:c>
      <x:c r="U98" s="20"/>
      <x:c r="V98" s="20"/>
      <x:c r="W98" s="30"/>
      <x:c r="X98" s="20" t="str">
        <x:f>IF(W98="","",IF(W98&lt;=10,3,IF(W98&lt;=15,2,IF(W98&lt;=20,1,0))))</x:f>
      </x:c>
      <x:c r="Y98" s="20"/>
      <x:c r="Z98" s="20"/>
      <x:c r="AA98" s="20"/>
      <x:c r="AB98" s="20"/>
      <x:c r="AC98" s="20" t="str">
        <x:f>IF(U98="","",U98+V98+X98+Y98+Z98+AA98+AB98)</x:f>
      </x:c>
      <x:c r="AD98" s="28"/>
      <x:c r="AE98" s="20" t="str">
        <x:f>IF(AD98="","",IF(AD98&gt;=1,18,IF(AD98&gt;=0.8,14,IF(AD98&gt;=0.6,9,4))))</x:f>
      </x:c>
      <x:c r="AF98" s="20"/>
      <x:c r="AG98" s="20"/>
      <x:c r="AH98" s="20"/>
      <x:c r="AI98" s="20"/>
      <x:c r="AJ98" s="20"/>
      <x:c r="AK98" s="20" t="str">
        <x:f>IF(AE98="","",AE98+AF98+AG98+AH98+AI98+AJ98)</x:f>
      </x:c>
      <x:c r="AL98" s="32" t="str">
        <x:f>IF(COUNT(M98,T98,AC98,AK98)=4,M98+T98+AC98+AK98,"")</x:f>
      </x:c>
      <x:c r="AM98" s="20" t="str">
        <x:f>IF(AL98="","",IF(AN98="有","重点关注",IF(AL98&gt;=80,"整体功能较好",IF(AL98&gt;=60,"轻度关注",IF(AL98&gt;=40,"中度关注","高度关注")))))</x:f>
      </x:c>
      <x:c r="AN98" s="20" t="str">
        <x:f>IF(OR(M98&lt;=15,T98&lt;=15,AC98&lt;=15,AK98&lt;=15,AD98&lt;0.6,N98&gt;20,U98=0,E98="是",F98&lt;&gt;"合格"),"有","无")</x:f>
        <x:v>有</x:v>
      </x:c>
      <x:c r="AO98" s="20" t="str">
        <x:f>IF(AL98="","",IF(AN98="有","存在红线或单项明显短板，建议重点关注并结合CGA/医生复核。",IF(AM98="整体功能较好","整体功能较好，建议维持运动并定期复测。",IF(AM98="轻度关注","存在部分功能短板，建议针对性训练与随访。",IF(AM98="中度关注","多项能力下降，建议进一步评估肌少症、衰弱或跌倒风险。","活动能力明显下降，建议临床评估与个体化干预。")))))</x:f>
      </x:c>
    </x:row>
    <x:row r="99">
      <x:c r="A99" s="20"/>
      <x:c r="B99" s="20"/>
      <x:c r="C99" s="20"/>
      <x:c r="D99" s="20"/>
      <x:c r="E99" s="20"/>
      <x:c r="F99" s="20"/>
      <x:c r="G99" s="30"/>
      <x:c r="H99" s="28" t="str">
        <x:f>IF(C99="男",G99/28,IF(C99="女",G99/18,""))</x:f>
      </x:c>
      <x:c r="I99" s="20" t="str">
        <x:f>IF(G99="","",IF(H99&gt;=1.1,18,IF(H99&gt;=1,15,IF(H99&gt;=0.85,11,IF(H99&gt;=0.7,7,3)))))</x:f>
      </x:c>
      <x:c r="J99" s="20"/>
      <x:c r="K99" s="20"/>
      <x:c r="L99" s="20"/>
      <x:c r="M99" s="20" t="str">
        <x:f>IF(I99="","",I99+J99+K99+L99)</x:f>
      </x:c>
      <x:c r="N99" s="30"/>
      <x:c r="O99" s="20" t="str">
        <x:f>IF(N99="","",IF(N99&lt;=10,18,IF(N99&lt;=12,15,IF(N99&lt;=15,10,IF(N99&lt;=20,5,2)))))</x:f>
      </x:c>
      <x:c r="P99" s="20"/>
      <x:c r="Q99" s="20"/>
      <x:c r="R99" s="20"/>
      <x:c r="S99" s="20"/>
      <x:c r="T99" s="20" t="str">
        <x:f>IF(O99="","",O99+P99+Q99+R99+S99)</x:f>
      </x:c>
      <x:c r="U99" s="20"/>
      <x:c r="V99" s="20"/>
      <x:c r="W99" s="30"/>
      <x:c r="X99" s="20" t="str">
        <x:f>IF(W99="","",IF(W99&lt;=10,3,IF(W99&lt;=15,2,IF(W99&lt;=20,1,0))))</x:f>
      </x:c>
      <x:c r="Y99" s="20"/>
      <x:c r="Z99" s="20"/>
      <x:c r="AA99" s="20"/>
      <x:c r="AB99" s="20"/>
      <x:c r="AC99" s="20" t="str">
        <x:f>IF(U99="","",U99+V99+X99+Y99+Z99+AA99+AB99)</x:f>
      </x:c>
      <x:c r="AD99" s="28"/>
      <x:c r="AE99" s="20" t="str">
        <x:f>IF(AD99="","",IF(AD99&gt;=1,18,IF(AD99&gt;=0.8,14,IF(AD99&gt;=0.6,9,4))))</x:f>
      </x:c>
      <x:c r="AF99" s="20"/>
      <x:c r="AG99" s="20"/>
      <x:c r="AH99" s="20"/>
      <x:c r="AI99" s="20"/>
      <x:c r="AJ99" s="20"/>
      <x:c r="AK99" s="20" t="str">
        <x:f>IF(AE99="","",AE99+AF99+AG99+AH99+AI99+AJ99)</x:f>
      </x:c>
      <x:c r="AL99" s="32" t="str">
        <x:f>IF(COUNT(M99,T99,AC99,AK99)=4,M99+T99+AC99+AK99,"")</x:f>
      </x:c>
      <x:c r="AM99" s="20" t="str">
        <x:f>IF(AL99="","",IF(AN99="有","重点关注",IF(AL99&gt;=80,"整体功能较好",IF(AL99&gt;=60,"轻度关注",IF(AL99&gt;=40,"中度关注","高度关注")))))</x:f>
      </x:c>
      <x:c r="AN99" s="20" t="str">
        <x:f>IF(OR(M99&lt;=15,T99&lt;=15,AC99&lt;=15,AK99&lt;=15,AD99&lt;0.6,N99&gt;20,U99=0,E99="是",F99&lt;&gt;"合格"),"有","无")</x:f>
        <x:v>有</x:v>
      </x:c>
      <x:c r="AO99" s="20" t="str">
        <x:f>IF(AL99="","",IF(AN99="有","存在红线或单项明显短板，建议重点关注并结合CGA/医生复核。",IF(AM99="整体功能较好","整体功能较好，建议维持运动并定期复测。",IF(AM99="轻度关注","存在部分功能短板，建议针对性训练与随访。",IF(AM99="中度关注","多项能力下降，建议进一步评估肌少症、衰弱或跌倒风险。","活动能力明显下降，建议临床评估与个体化干预。")))))</x:f>
      </x:c>
    </x:row>
    <x:row r="100">
      <x:c r="A100" s="20"/>
      <x:c r="B100" s="20"/>
      <x:c r="C100" s="20"/>
      <x:c r="D100" s="20"/>
      <x:c r="E100" s="20"/>
      <x:c r="F100" s="20"/>
      <x:c r="G100" s="30"/>
      <x:c r="H100" s="28" t="str">
        <x:f>IF(C100="男",G100/28,IF(C100="女",G100/18,""))</x:f>
      </x:c>
      <x:c r="I100" s="20" t="str">
        <x:f>IF(G100="","",IF(H100&gt;=1.1,18,IF(H100&gt;=1,15,IF(H100&gt;=0.85,11,IF(H100&gt;=0.7,7,3)))))</x:f>
      </x:c>
      <x:c r="J100" s="20"/>
      <x:c r="K100" s="20"/>
      <x:c r="L100" s="20"/>
      <x:c r="M100" s="20" t="str">
        <x:f>IF(I100="","",I100+J100+K100+L100)</x:f>
      </x:c>
      <x:c r="N100" s="30"/>
      <x:c r="O100" s="20" t="str">
        <x:f>IF(N100="","",IF(N100&lt;=10,18,IF(N100&lt;=12,15,IF(N100&lt;=15,10,IF(N100&lt;=20,5,2)))))</x:f>
      </x:c>
      <x:c r="P100" s="20"/>
      <x:c r="Q100" s="20"/>
      <x:c r="R100" s="20"/>
      <x:c r="S100" s="20"/>
      <x:c r="T100" s="20" t="str">
        <x:f>IF(O100="","",O100+P100+Q100+R100+S100)</x:f>
      </x:c>
      <x:c r="U100" s="20"/>
      <x:c r="V100" s="20"/>
      <x:c r="W100" s="30"/>
      <x:c r="X100" s="20" t="str">
        <x:f>IF(W100="","",IF(W100&lt;=10,3,IF(W100&lt;=15,2,IF(W100&lt;=20,1,0))))</x:f>
      </x:c>
      <x:c r="Y100" s="20"/>
      <x:c r="Z100" s="20"/>
      <x:c r="AA100" s="20"/>
      <x:c r="AB100" s="20"/>
      <x:c r="AC100" s="20" t="str">
        <x:f>IF(U100="","",U100+V100+X100+Y100+Z100+AA100+AB100)</x:f>
      </x:c>
      <x:c r="AD100" s="28"/>
      <x:c r="AE100" s="20" t="str">
        <x:f>IF(AD100="","",IF(AD100&gt;=1,18,IF(AD100&gt;=0.8,14,IF(AD100&gt;=0.6,9,4))))</x:f>
      </x:c>
      <x:c r="AF100" s="20"/>
      <x:c r="AG100" s="20"/>
      <x:c r="AH100" s="20"/>
      <x:c r="AI100" s="20"/>
      <x:c r="AJ100" s="20"/>
      <x:c r="AK100" s="20" t="str">
        <x:f>IF(AE100="","",AE100+AF100+AG100+AH100+AI100+AJ100)</x:f>
      </x:c>
      <x:c r="AL100" s="32" t="str">
        <x:f>IF(COUNT(M100,T100,AC100,AK100)=4,M100+T100+AC100+AK100,"")</x:f>
      </x:c>
      <x:c r="AM100" s="20" t="str">
        <x:f>IF(AL100="","",IF(AN100="有","重点关注",IF(AL100&gt;=80,"整体功能较好",IF(AL100&gt;=60,"轻度关注",IF(AL100&gt;=40,"中度关注","高度关注")))))</x:f>
      </x:c>
      <x:c r="AN100" s="20" t="str">
        <x:f>IF(OR(M100&lt;=15,T100&lt;=15,AC100&lt;=15,AK100&lt;=15,AD100&lt;0.6,N100&gt;20,U100=0,E100="是",F100&lt;&gt;"合格"),"有","无")</x:f>
        <x:v>有</x:v>
      </x:c>
      <x:c r="AO100" s="20" t="str">
        <x:f>IF(AL100="","",IF(AN100="有","存在红线或单项明显短板，建议重点关注并结合CGA/医生复核。",IF(AM100="整体功能较好","整体功能较好，建议维持运动并定期复测。",IF(AM100="轻度关注","存在部分功能短板，建议针对性训练与随访。",IF(AM100="中度关注","多项能力下降，建议进一步评估肌少症、衰弱或跌倒风险。","活动能力明显下降，建议临床评估与个体化干预。")))))</x:f>
      </x:c>
    </x:row>
    <x:row r="101">
      <x:c r="A101" s="20"/>
      <x:c r="B101" s="20"/>
      <x:c r="C101" s="20"/>
      <x:c r="D101" s="20"/>
      <x:c r="E101" s="20"/>
      <x:c r="F101" s="20"/>
      <x:c r="G101" s="30"/>
      <x:c r="H101" s="28" t="str">
        <x:f>IF(C101="男",G101/28,IF(C101="女",G101/18,""))</x:f>
      </x:c>
      <x:c r="I101" s="20" t="str">
        <x:f>IF(G101="","",IF(H101&gt;=1.1,18,IF(H101&gt;=1,15,IF(H101&gt;=0.85,11,IF(H101&gt;=0.7,7,3)))))</x:f>
      </x:c>
      <x:c r="J101" s="20"/>
      <x:c r="K101" s="20"/>
      <x:c r="L101" s="20"/>
      <x:c r="M101" s="20" t="str">
        <x:f>IF(I101="","",I101+J101+K101+L101)</x:f>
      </x:c>
      <x:c r="N101" s="30"/>
      <x:c r="O101" s="20" t="str">
        <x:f>IF(N101="","",IF(N101&lt;=10,18,IF(N101&lt;=12,15,IF(N101&lt;=15,10,IF(N101&lt;=20,5,2)))))</x:f>
      </x:c>
      <x:c r="P101" s="20"/>
      <x:c r="Q101" s="20"/>
      <x:c r="R101" s="20"/>
      <x:c r="S101" s="20"/>
      <x:c r="T101" s="20" t="str">
        <x:f>IF(O101="","",O101+P101+Q101+R101+S101)</x:f>
      </x:c>
      <x:c r="U101" s="20"/>
      <x:c r="V101" s="20"/>
      <x:c r="W101" s="30"/>
      <x:c r="X101" s="20" t="str">
        <x:f>IF(W101="","",IF(W101&lt;=10,3,IF(W101&lt;=15,2,IF(W101&lt;=20,1,0))))</x:f>
      </x:c>
      <x:c r="Y101" s="20"/>
      <x:c r="Z101" s="20"/>
      <x:c r="AA101" s="20"/>
      <x:c r="AB101" s="20"/>
      <x:c r="AC101" s="20" t="str">
        <x:f>IF(U101="","",U101+V101+X101+Y101+Z101+AA101+AB101)</x:f>
      </x:c>
      <x:c r="AD101" s="28"/>
      <x:c r="AE101" s="20" t="str">
        <x:f>IF(AD101="","",IF(AD101&gt;=1,18,IF(AD101&gt;=0.8,14,IF(AD101&gt;=0.6,9,4))))</x:f>
      </x:c>
      <x:c r="AF101" s="20"/>
      <x:c r="AG101" s="20"/>
      <x:c r="AH101" s="20"/>
      <x:c r="AI101" s="20"/>
      <x:c r="AJ101" s="20"/>
      <x:c r="AK101" s="20" t="str">
        <x:f>IF(AE101="","",AE101+AF101+AG101+AH101+AI101+AJ101)</x:f>
      </x:c>
      <x:c r="AL101" s="32" t="str">
        <x:f>IF(COUNT(M101,T101,AC101,AK101)=4,M101+T101+AC101+AK101,"")</x:f>
      </x:c>
      <x:c r="AM101" s="20" t="str">
        <x:f>IF(AL101="","",IF(AN101="有","重点关注",IF(AL101&gt;=80,"整体功能较好",IF(AL101&gt;=60,"轻度关注",IF(AL101&gt;=40,"中度关注","高度关注")))))</x:f>
      </x:c>
      <x:c r="AN101" s="20" t="str">
        <x:f>IF(OR(M101&lt;=15,T101&lt;=15,AC101&lt;=15,AK101&lt;=15,AD101&lt;0.6,N101&gt;20,U101=0,E101="是",F101&lt;&gt;"合格"),"有","无")</x:f>
        <x:v>有</x:v>
      </x:c>
      <x:c r="AO101" s="20" t="str">
        <x:f>IF(AL101="","",IF(AN101="有","存在红线或单项明显短板，建议重点关注并结合CGA/医生复核。",IF(AM101="整体功能较好","整体功能较好，建议维持运动并定期复测。",IF(AM101="轻度关注","存在部分功能短板，建议针对性训练与随访。",IF(AM101="中度关注","多项能力下降，建议进一步评估肌少症、衰弱或跌倒风险。","活动能力明显下降，建议临床评估与个体化干预。")))))</x:f>
      </x:c>
    </x:row>
    <x:row r="102">
      <x:c r="A102" s="20"/>
      <x:c r="B102" s="20"/>
      <x:c r="C102" s="20"/>
      <x:c r="D102" s="20"/>
      <x:c r="E102" s="20"/>
      <x:c r="F102" s="20"/>
      <x:c r="G102" s="30"/>
      <x:c r="H102" s="28" t="str">
        <x:f>IF(C102="男",G102/28,IF(C102="女",G102/18,""))</x:f>
      </x:c>
      <x:c r="I102" s="20" t="str">
        <x:f>IF(G102="","",IF(H102&gt;=1.1,18,IF(H102&gt;=1,15,IF(H102&gt;=0.85,11,IF(H102&gt;=0.7,7,3)))))</x:f>
      </x:c>
      <x:c r="J102" s="20"/>
      <x:c r="K102" s="20"/>
      <x:c r="L102" s="20"/>
      <x:c r="M102" s="20" t="str">
        <x:f>IF(I102="","",I102+J102+K102+L102)</x:f>
      </x:c>
      <x:c r="N102" s="30"/>
      <x:c r="O102" s="20" t="str">
        <x:f>IF(N102="","",IF(N102&lt;=10,18,IF(N102&lt;=12,15,IF(N102&lt;=15,10,IF(N102&lt;=20,5,2)))))</x:f>
      </x:c>
      <x:c r="P102" s="20"/>
      <x:c r="Q102" s="20"/>
      <x:c r="R102" s="20"/>
      <x:c r="S102" s="20"/>
      <x:c r="T102" s="20" t="str">
        <x:f>IF(O102="","",O102+P102+Q102+R102+S102)</x:f>
      </x:c>
      <x:c r="U102" s="20"/>
      <x:c r="V102" s="20"/>
      <x:c r="W102" s="30"/>
      <x:c r="X102" s="20" t="str">
        <x:f>IF(W102="","",IF(W102&lt;=10,3,IF(W102&lt;=15,2,IF(W102&lt;=20,1,0))))</x:f>
      </x:c>
      <x:c r="Y102" s="20"/>
      <x:c r="Z102" s="20"/>
      <x:c r="AA102" s="20"/>
      <x:c r="AB102" s="20"/>
      <x:c r="AC102" s="20" t="str">
        <x:f>IF(U102="","",U102+V102+X102+Y102+Z102+AA102+AB102)</x:f>
      </x:c>
      <x:c r="AD102" s="28"/>
      <x:c r="AE102" s="20" t="str">
        <x:f>IF(AD102="","",IF(AD102&gt;=1,18,IF(AD102&gt;=0.8,14,IF(AD102&gt;=0.6,9,4))))</x:f>
      </x:c>
      <x:c r="AF102" s="20"/>
      <x:c r="AG102" s="20"/>
      <x:c r="AH102" s="20"/>
      <x:c r="AI102" s="20"/>
      <x:c r="AJ102" s="20"/>
      <x:c r="AK102" s="20" t="str">
        <x:f>IF(AE102="","",AE102+AF102+AG102+AH102+AI102+AJ102)</x:f>
      </x:c>
      <x:c r="AL102" s="32" t="str">
        <x:f>IF(COUNT(M102,T102,AC102,AK102)=4,M102+T102+AC102+AK102,"")</x:f>
      </x:c>
      <x:c r="AM102" s="20" t="str">
        <x:f>IF(AL102="","",IF(AN102="有","重点关注",IF(AL102&gt;=80,"整体功能较好",IF(AL102&gt;=60,"轻度关注",IF(AL102&gt;=40,"中度关注","高度关注")))))</x:f>
      </x:c>
      <x:c r="AN102" s="20" t="str">
        <x:f>IF(OR(M102&lt;=15,T102&lt;=15,AC102&lt;=15,AK102&lt;=15,AD102&lt;0.6,N102&gt;20,U102=0,E102="是",F102&lt;&gt;"合格"),"有","无")</x:f>
        <x:v>有</x:v>
      </x:c>
      <x:c r="AO102" s="20" t="str">
        <x:f>IF(AL102="","",IF(AN102="有","存在红线或单项明显短板，建议重点关注并结合CGA/医生复核。",IF(AM102="整体功能较好","整体功能较好，建议维持运动并定期复测。",IF(AM102="轻度关注","存在部分功能短板，建议针对性训练与随访。",IF(AM102="中度关注","多项能力下降，建议进一步评估肌少症、衰弱或跌倒风险。","活动能力明显下降，建议临床评估与个体化干预。")))))</x:f>
      </x:c>
    </x:row>
    <x:row r="103">
      <x:c r="A103" s="20"/>
      <x:c r="B103" s="20"/>
      <x:c r="C103" s="20"/>
      <x:c r="D103" s="20"/>
      <x:c r="E103" s="20"/>
      <x:c r="F103" s="20"/>
      <x:c r="G103" s="30"/>
      <x:c r="H103" s="28" t="str">
        <x:f>IF(C103="男",G103/28,IF(C103="女",G103/18,""))</x:f>
      </x:c>
      <x:c r="I103" s="20" t="str">
        <x:f>IF(G103="","",IF(H103&gt;=1.1,18,IF(H103&gt;=1,15,IF(H103&gt;=0.85,11,IF(H103&gt;=0.7,7,3)))))</x:f>
      </x:c>
      <x:c r="J103" s="20"/>
      <x:c r="K103" s="20"/>
      <x:c r="L103" s="20"/>
      <x:c r="M103" s="20" t="str">
        <x:f>IF(I103="","",I103+J103+K103+L103)</x:f>
      </x:c>
      <x:c r="N103" s="30"/>
      <x:c r="O103" s="20" t="str">
        <x:f>IF(N103="","",IF(N103&lt;=10,18,IF(N103&lt;=12,15,IF(N103&lt;=15,10,IF(N103&lt;=20,5,2)))))</x:f>
      </x:c>
      <x:c r="P103" s="20"/>
      <x:c r="Q103" s="20"/>
      <x:c r="R103" s="20"/>
      <x:c r="S103" s="20"/>
      <x:c r="T103" s="20" t="str">
        <x:f>IF(O103="","",O103+P103+Q103+R103+S103)</x:f>
      </x:c>
      <x:c r="U103" s="20"/>
      <x:c r="V103" s="20"/>
      <x:c r="W103" s="30"/>
      <x:c r="X103" s="20" t="str">
        <x:f>IF(W103="","",IF(W103&lt;=10,3,IF(W103&lt;=15,2,IF(W103&lt;=20,1,0))))</x:f>
      </x:c>
      <x:c r="Y103" s="20"/>
      <x:c r="Z103" s="20"/>
      <x:c r="AA103" s="20"/>
      <x:c r="AB103" s="20"/>
      <x:c r="AC103" s="20" t="str">
        <x:f>IF(U103="","",U103+V103+X103+Y103+Z103+AA103+AB103)</x:f>
      </x:c>
      <x:c r="AD103" s="28"/>
      <x:c r="AE103" s="20" t="str">
        <x:f>IF(AD103="","",IF(AD103&gt;=1,18,IF(AD103&gt;=0.8,14,IF(AD103&gt;=0.6,9,4))))</x:f>
      </x:c>
      <x:c r="AF103" s="20"/>
      <x:c r="AG103" s="20"/>
      <x:c r="AH103" s="20"/>
      <x:c r="AI103" s="20"/>
      <x:c r="AJ103" s="20"/>
      <x:c r="AK103" s="20" t="str">
        <x:f>IF(AE103="","",AE103+AF103+AG103+AH103+AI103+AJ103)</x:f>
      </x:c>
      <x:c r="AL103" s="32" t="str">
        <x:f>IF(COUNT(M103,T103,AC103,AK103)=4,M103+T103+AC103+AK103,"")</x:f>
      </x:c>
      <x:c r="AM103" s="20" t="str">
        <x:f>IF(AL103="","",IF(AN103="有","重点关注",IF(AL103&gt;=80,"整体功能较好",IF(AL103&gt;=60,"轻度关注",IF(AL103&gt;=40,"中度关注","高度关注")))))</x:f>
      </x:c>
      <x:c r="AN103" s="20" t="str">
        <x:f>IF(OR(M103&lt;=15,T103&lt;=15,AC103&lt;=15,AK103&lt;=15,AD103&lt;0.6,N103&gt;20,U103=0,E103="是",F103&lt;&gt;"合格"),"有","无")</x:f>
        <x:v>有</x:v>
      </x:c>
      <x:c r="AO103" s="20" t="str">
        <x:f>IF(AL103="","",IF(AN103="有","存在红线或单项明显短板，建议重点关注并结合CGA/医生复核。",IF(AM103="整体功能较好","整体功能较好，建议维持运动并定期复测。",IF(AM103="轻度关注","存在部分功能短板，建议针对性训练与随访。",IF(AM103="中度关注","多项能力下降，建议进一步评估肌少症、衰弱或跌倒风险。","活动能力明显下降，建议临床评估与个体化干预。")))))</x:f>
      </x:c>
    </x:row>
  </x:sheetData>
  <x:mergeCells>
    <x:mergeCell ref="A1:A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0" hidden="0" customWidth="1"/>
    <x:col min="5" max="5" width="58" hidden="0" customWidth="1"/>
    <x:col min="6" max="6" width="22" hidden="0" customWidth="1"/>
  </x:cols>
  <x:sheetData>
    <x:row r="1" ht="28" customHeight="1">
      <x:c r="A1" s="36" t="str">
        <x:v>四大模块评分细则</x:v>
      </x:c>
      <x:c r="B1" s="36"/>
      <x:c r="C1" s="36"/>
      <x:c r="D1" s="36"/>
      <x:c r="E1" s="36"/>
      <x:c r="F1" s="36"/>
      <x:c r="G1" s="36"/>
      <x:c r="H1" s="36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3">
      <x:c r="A3" s="13" t="str">
        <x:v>模块</x:v>
      </x:c>
      <x:c r="B3" s="13" t="str">
        <x:v>一级指标</x:v>
      </x:c>
      <x:c r="C3" s="13" t="str">
        <x:v>二级指标</x:v>
      </x:c>
      <x:c r="D3" s="13" t="str">
        <x:v>分值</x:v>
      </x:c>
      <x:c r="E3" s="13" t="str">
        <x:v>评分逻辑/阈值</x:v>
      </x:c>
      <x:c r="F3" s="13" t="str">
        <x:v>备注</x:v>
      </x:c>
    </x:row>
    <x:row r="4">
      <x:c r="A4" s="20" t="str">
        <x:v>握力</x:v>
      </x:c>
      <x:c r="B4" s="20" t="str">
        <x:v>核心硬指标</x:v>
      </x:c>
      <x:c r="C4" s="20" t="str">
        <x:v>最大握力</x:v>
      </x:c>
      <x:c r="D4" s="20" t="n">
        <x:v>18</x:v>
      </x:c>
      <x:c r="E4" s="20" t="str">
        <x:v>R=实测握力/性别参考阈值；男28kg，女18kg；R≥1.10=18，1.00–1.09=15，0.85–0.99=11，0.70–0.84=7，&lt;0.70=3</x:v>
      </x:c>
      <x:c r="F4" s="20" t="str">
        <x:v>用于肌力维度筛查</x:v>
      </x:c>
    </x:row>
    <x:row r="5">
      <x:c r="A5" s="20" t="str">
        <x:v>握力</x:v>
      </x:c>
      <x:c r="B5" s="20" t="str">
        <x:v>增强指标</x:v>
      </x:c>
      <x:c r="C5" s="20" t="str">
        <x:v>手指贡献均衡性</x:v>
      </x:c>
      <x:c r="D5" s="20" t="n">
        <x:v>2</x:v>
      </x:c>
      <x:c r="E5" s="20" t="str">
        <x:v>贡献均衡/无明显代偿给高分；单指贡献明显异常降低给低分</x:v>
      </x:c>
      <x:c r="F5" s="20" t="str">
        <x:v>触觉手套特色</x:v>
      </x:c>
    </x:row>
    <x:row r="6">
      <x:c r="A6" s="20" t="str">
        <x:v>握力</x:v>
      </x:c>
      <x:c r="B6" s="20" t="str">
        <x:v>增强指标</x:v>
      </x:c>
      <x:c r="C6" s="20" t="str">
        <x:v>抓握稳定性</x:v>
      </x:c>
      <x:c r="D6" s="20" t="n">
        <x:v>3</x:v>
      </x:c>
      <x:c r="E6" s="20" t="str">
        <x:v>力-时间曲线平稳、维持能力好给高分；波动/早衰减给低分</x:v>
      </x:c>
      <x:c r="F6" s="20" t="str">
        <x:v>触觉手套特色</x:v>
      </x:c>
    </x:row>
    <x:row r="7">
      <x:c r="A7" s="20" t="str">
        <x:v>握力</x:v>
      </x:c>
      <x:c r="B7" s="20" t="str">
        <x:v>增强指标</x:v>
      </x:c>
      <x:c r="C7" s="20" t="str">
        <x:v>左右手差异</x:v>
      </x:c>
      <x:c r="D7" s="20" t="n">
        <x:v>2</x:v>
      </x:c>
      <x:c r="E7" s="20" t="str">
        <x:v>双手差异越小越高；明显不对称需关注</x:v>
      </x:c>
      <x:c r="F7" s="20" t="str">
        <x:v>偏侧功能提示</x:v>
      </x:c>
    </x:row>
    <x:row r="8">
      <x:c r="A8" s="20" t="str">
        <x:v>起坐</x:v>
      </x:c>
      <x:c r="B8" s="20" t="str">
        <x:v>核心硬指标</x:v>
      </x:c>
      <x:c r="C8" s="20" t="str">
        <x:v>5次起坐总时长</x:v>
      </x:c>
      <x:c r="D8" s="20" t="n">
        <x:v>18</x:v>
      </x:c>
      <x:c r="E8" s="20" t="str">
        <x:v>≤10s=18；&gt;10–12s=15；&gt;12–15s=10；&gt;15–20s=5；&gt;20s或需辅助=2；无法完成=0</x:v>
      </x:c>
      <x:c r="F8" s="20" t="str">
        <x:v>与下肢功能/SPPB相关</x:v>
      </x:c>
    </x:row>
    <x:row r="9">
      <x:c r="A9" s="20" t="str">
        <x:v>起坐</x:v>
      </x:c>
      <x:c r="B9" s="20" t="str">
        <x:v>增强指标</x:v>
      </x:c>
      <x:c r="C9" s="20" t="str">
        <x:v>单次起坐周期稳定性</x:v>
      </x:c>
      <x:c r="D9" s="20" t="n">
        <x:v>2</x:v>
      </x:c>
      <x:c r="E9" s="20" t="str">
        <x:v>每次耗时稳定给高分；逐次变慢/波动大给低分</x:v>
      </x:c>
      <x:c r="F9" s="20" t="str">
        <x:v>压力坐垫特色</x:v>
      </x:c>
    </x:row>
    <x:row r="10">
      <x:c r="A10" s="20" t="str">
        <x:v>起坐</x:v>
      </x:c>
      <x:c r="B10" s="20" t="str">
        <x:v>增强指标</x:v>
      </x:c>
      <x:c r="C10" s="20" t="str">
        <x:v>左右负重对称性</x:v>
      </x:c>
      <x:c r="D10" s="20" t="n">
        <x:v>2</x:v>
      </x:c>
      <x:c r="E10" s="20" t="str">
        <x:v>起坐过程左右负重越均衡越高</x:v>
      </x:c>
      <x:c r="F10" s="20" t="str">
        <x:v>偏侧代偿提示</x:v>
      </x:c>
    </x:row>
    <x:row r="11">
      <x:c r="A11" s="20" t="str">
        <x:v>起坐</x:v>
      </x:c>
      <x:c r="B11" s="20" t="str">
        <x:v>增强指标</x:v>
      </x:c>
      <x:c r="C11" s="20" t="str">
        <x:v>坐站压力变化曲线</x:v>
      </x:c>
      <x:c r="D11" s="20" t="n">
        <x:v>2</x:v>
      </x:c>
      <x:c r="E11" s="20" t="str">
        <x:v>启动顺畅、曲线平滑给高分；迟滞/代偿明显给低分</x:v>
      </x:c>
      <x:c r="F11" s="20" t="str">
        <x:v>动态力学过程</x:v>
      </x:c>
    </x:row>
    <x:row r="12">
      <x:c r="A12" s="20" t="str">
        <x:v>起坐</x:v>
      </x:c>
      <x:c r="B12" s="20" t="str">
        <x:v>增强指标</x:v>
      </x:c>
      <x:c r="C12" s="20" t="str">
        <x:v>重心转移/COP</x:v>
      </x:c>
      <x:c r="D12" s="20" t="n">
        <x:v>1</x:v>
      </x:c>
      <x:c r="E12" s="20" t="str">
        <x:v>重心转移稳定给1分，明显晃动/偏移给0分</x:v>
      </x:c>
      <x:c r="F12" s="20" t="str">
        <x:v>辅助指标</x:v>
      </x:c>
    </x:row>
    <x:row r="13">
      <x:c r="A13" s="20" t="str">
        <x:v>静态站立</x:v>
      </x:c>
      <x:c r="B13" s="20" t="str">
        <x:v>核心硬指标</x:v>
      </x:c>
      <x:c r="C13" s="20" t="str">
        <x:v>四阶段平衡等级</x:v>
      </x:c>
      <x:c r="D13" s="20" t="n">
        <x:v>10</x:v>
      </x:c>
      <x:c r="E13" s="20" t="str">
        <x:v>最高等级稳定=10；较高等级轻微不稳=8；中等等级=5；低等级=2；无法安全完成=0</x:v>
      </x:c>
      <x:c r="F13" s="20" t="str">
        <x:v>核心平衡能力</x:v>
      </x:c>
    </x:row>
    <x:row r="14">
      <x:c r="A14" s="20" t="str">
        <x:v>静态站立</x:v>
      </x:c>
      <x:c r="B14" s="20" t="str">
        <x:v>核心硬指标</x:v>
      </x:c>
      <x:c r="C14" s="20" t="str">
        <x:v>COP稳态水平</x:v>
      </x:c>
      <x:c r="D14" s="20" t="n">
        <x:v>5</x:v>
      </x:c>
      <x:c r="E14" s="20" t="str">
        <x:v>稳定=5；轻度增大=3；明显增大=1；无法判断=0</x:v>
      </x:c>
      <x:c r="F14" s="20" t="str">
        <x:v>姿势控制</x:v>
      </x:c>
    </x:row>
    <x:row r="15">
      <x:c r="A15" s="20" t="str">
        <x:v>静态站立</x:v>
      </x:c>
      <x:c r="B15" s="20" t="str">
        <x:v>核心硬指标</x:v>
      </x:c>
      <x:c r="C15" s="20" t="str">
        <x:v>左右负荷偏移</x:v>
      </x:c>
      <x:c r="D15" s="20" t="n">
        <x:v>3</x:v>
      </x:c>
      <x:c r="E15" s="20" t="str">
        <x:v>左右压力差≤10%=3；&gt;10–15%=2；&gt;15–20%=1；&gt;20%=0</x:v>
      </x:c>
      <x:c r="F15" s="20" t="str">
        <x:v>客观负重偏移</x:v>
      </x:c>
    </x:row>
    <x:row r="16">
      <x:c r="A16" s="20" t="str">
        <x:v>静态站立</x:v>
      </x:c>
      <x:c r="B16" s="20" t="str">
        <x:v>增强指标</x:v>
      </x:c>
      <x:c r="C16" s="20" t="str">
        <x:v>足底压力分区合理性</x:v>
      </x:c>
      <x:c r="D16" s="20" t="n">
        <x:v>2</x:v>
      </x:c>
      <x:c r="E16" s="20" t="str">
        <x:v>前/中/后足压力无异常集中给高分</x:v>
      </x:c>
      <x:c r="F16" s="20" t="str">
        <x:v>压力步道特色</x:v>
      </x:c>
    </x:row>
    <x:row r="17">
      <x:c r="A17" s="20" t="str">
        <x:v>静态站立</x:v>
      </x:c>
      <x:c r="B17" s="20" t="str">
        <x:v>增强指标</x:v>
      </x:c>
      <x:c r="C17" s="20" t="str">
        <x:v>足弓/足型压力特征</x:v>
      </x:c>
      <x:c r="D17" s="20" t="n">
        <x:v>1</x:v>
      </x:c>
      <x:c r="E17" s="20" t="str">
        <x:v>足弓/足型压力模式无明显异常给1分</x:v>
      </x:c>
      <x:c r="F17" s="20" t="str">
        <x:v>辅助解释</x:v>
      </x:c>
    </x:row>
    <x:row r="18">
      <x:c r="A18" s="20" t="str">
        <x:v>静态站立</x:v>
      </x:c>
      <x:c r="B18" s="20" t="str">
        <x:v>增强指标</x:v>
      </x:c>
      <x:c r="C18" s="20" t="str">
        <x:v>COP轨迹形态</x:v>
      </x:c>
      <x:c r="D18" s="20" t="n">
        <x:v>2</x:v>
      </x:c>
      <x:c r="E18" s="20" t="str">
        <x:v>轨迹集中稳定给高分；漂移/扩散/偏侧聚集给低分</x:v>
      </x:c>
      <x:c r="F18" s="20" t="str">
        <x:v>平衡策略</x:v>
      </x:c>
    </x:row>
    <x:row r="19">
      <x:c r="A19" s="20" t="str">
        <x:v>静态站立</x:v>
      </x:c>
      <x:c r="B19" s="20" t="str">
        <x:v>增强指标</x:v>
      </x:c>
      <x:c r="C19" s="20" t="str">
        <x:v>AP/ML稳定性</x:v>
      </x:c>
      <x:c r="D19" s="20" t="n">
        <x:v>2</x:v>
      </x:c>
      <x:c r="E19" s="20" t="str">
        <x:v>前后/内外侧摆动越小越高</x:v>
      </x:c>
      <x:c r="F19" s="20" t="str">
        <x:v>姿势控制方向</x:v>
      </x:c>
    </x:row>
    <x:row r="20">
      <x:c r="A20" s="20" t="str">
        <x:v>步态</x:v>
      </x:c>
      <x:c r="B20" s="20" t="str">
        <x:v>核心硬指标</x:v>
      </x:c>
      <x:c r="C20" s="20" t="str">
        <x:v>日常步速</x:v>
      </x:c>
      <x:c r="D20" s="20" t="n">
        <x:v>18</x:v>
      </x:c>
      <x:c r="E20" s="20" t="str">
        <x:v>≥1.0m/s=18；0.8–1.0=14；0.6–0.8=9；&lt;0.6=4；无法独立完成=0</x:v>
      </x:c>
      <x:c r="F20" s="20" t="str">
        <x:v>核心步态指标</x:v>
      </x:c>
    </x:row>
    <x:row r="21">
      <x:c r="A21" s="20" t="str">
        <x:v>步态</x:v>
      </x:c>
      <x:c r="B21" s="20" t="str">
        <x:v>增强指标</x:v>
      </x:c>
      <x:c r="C21" s="20" t="str">
        <x:v>步长/步宽合理性</x:v>
      </x:c>
      <x:c r="D21" s="20" t="n">
        <x:v>2</x:v>
      </x:c>
      <x:c r="E21" s="20" t="str">
        <x:v>步长过短、步宽过宽或代偿明显给低分</x:v>
      </x:c>
      <x:c r="F21" s="20" t="str">
        <x:v>步态代偿</x:v>
      </x:c>
    </x:row>
    <x:row r="22">
      <x:c r="A22" s="20" t="str">
        <x:v>步态</x:v>
      </x:c>
      <x:c r="B22" s="20" t="str">
        <x:v>增强指标</x:v>
      </x:c>
      <x:c r="C22" s="20" t="str">
        <x:v>双支撑期占比</x:v>
      </x:c>
      <x:c r="D22" s="20" t="n">
        <x:v>2</x:v>
      </x:c>
      <x:c r="E22" s="20" t="str">
        <x:v>双支撑期延长提示谨慎/不稳步态</x:v>
      </x:c>
      <x:c r="F22" s="20" t="str">
        <x:v>跌倒相关特征</x:v>
      </x:c>
    </x:row>
    <x:row r="23">
      <x:c r="A23" s="20" t="str">
        <x:v>步态</x:v>
      </x:c>
      <x:c r="B23" s="20" t="str">
        <x:v>增强指标</x:v>
      </x:c>
      <x:c r="C23" s="20" t="str">
        <x:v>足偏角FPA</x:v>
      </x:c>
      <x:c r="D23" s="20" t="n">
        <x:v>1</x:v>
      </x:c>
      <x:c r="E23" s="20" t="str">
        <x:v>明显内八/外八或左右差异给低分</x:v>
      </x:c>
      <x:c r="F23" s="20" t="str">
        <x:v>姿态代偿</x:v>
      </x:c>
    </x:row>
    <x:row r="24">
      <x:c r="A24" s="20" t="str">
        <x:v>步态</x:v>
      </x:c>
      <x:c r="B24" s="20" t="str">
        <x:v>增强指标</x:v>
      </x:c>
      <x:c r="C24" s="20" t="str">
        <x:v>左右步态对称性</x:v>
      </x:c>
      <x:c r="D24" s="20" t="n">
        <x:v>1</x:v>
      </x:c>
      <x:c r="E24" s="20" t="str">
        <x:v>左右步长、支撑时间、压力越对称越高</x:v>
      </x:c>
      <x:c r="F24" s="20" t="str">
        <x:v>对称性</x:v>
      </x:c>
    </x:row>
    <x:row r="25">
      <x:c r="A25" s="20" t="str">
        <x:v>步态</x:v>
      </x:c>
      <x:c r="B25" s="20" t="str">
        <x:v>增强指标</x:v>
      </x:c>
      <x:c r="C25" s="20" t="str">
        <x:v>足底动态压力分布</x:v>
      </x:c>
      <x:c r="D25" s="20" t="n">
        <x:v>1</x:v>
      </x:c>
      <x:c r="E25" s="20" t="str">
        <x:v>着地—过渡—蹬伸压力模式合理给1分</x:v>
      </x:c>
      <x:c r="F25" s="20" t="str">
        <x:v>动态压力特色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5" hidden="0" customWidth="1"/>
  </x:cols>
  <x:sheetData>
    <x:row r="1" ht="28" customHeight="1">
      <x:c r="A1" s="36" t="str">
        <x:v>红线规则与报告输出建议</x:v>
      </x:c>
      <x:c r="B1" s="36"/>
      <x:c r="C1" s="36"/>
      <x:c r="D1" s="36"/>
      <x:c r="E1" s="36"/>
      <x:c r="F1" s="36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3">
      <x:c r="A3" s="13" t="str">
        <x:v>红线条件</x:v>
      </x:c>
      <x:c r="B3" s="13" t="str">
        <x:v>处理方式</x:v>
      </x:c>
      <x:c r="C3" s="13" t="str">
        <x:v>报告表达建议</x:v>
      </x:c>
    </x:row>
    <x:row r="4">
      <x:c r="A4" s="20" t="str">
        <x:v>任一模块得分≤15分</x:v>
      </x:c>
      <x:c r="B4" s="20" t="str">
        <x:v>该模块标记为重点关注</x:v>
      </x:c>
      <x:c r="C4" s="20" t="str">
        <x:v>该功能维度存在明显下降，建议针对性复核与干预。</x:v>
      </x:c>
    </x:row>
    <x:row r="5">
      <x:c r="A5" s="20" t="str">
        <x:v>步速&lt;0.6 m/s</x:v>
      </x:c>
      <x:c r="B5" s="20" t="str">
        <x:v>标记步态能力明显下降</x:v>
      </x:c>
      <x:c r="C5" s="20" t="str">
        <x:v>步态速度明显偏低，提示活动能力下降和跌倒风险需关注。</x:v>
      </x:c>
    </x:row>
    <x:row r="6">
      <x:c r="A6" s="20" t="str">
        <x:v>5次起坐&gt;20s或无法完成</x:v>
      </x:c>
      <x:c r="B6" s="20" t="str">
        <x:v>标记下肢功能明显下降</x:v>
      </x:c>
      <x:c r="C6" s="20" t="str">
        <x:v>坐站转移能力明显下降，建议进一步评估下肢肌力与衰弱风险。</x:v>
      </x:c>
    </x:row>
    <x:row r="7">
      <x:c r="A7" s="20" t="str">
        <x:v>无法安全完成基础站立</x:v>
      </x:c>
      <x:c r="B7" s="20" t="str">
        <x:v>标记平衡高风险</x:v>
      </x:c>
      <x:c r="C7" s="20" t="str">
        <x:v>基础平衡能力不足，建议进行安全防护和进一步临床评估。</x:v>
      </x:c>
    </x:row>
    <x:row r="8">
      <x:c r="A8" s="20" t="str">
        <x:v>近6–12个月有跌倒史</x:v>
      </x:c>
      <x:c r="B8" s="20" t="str">
        <x:v>标记跌倒风险重点关注</x:v>
      </x:c>
      <x:c r="C8" s="20" t="str">
        <x:v>既往跌倒史阳性，应结合环境、用药和平衡/步态情况综合评估。</x:v>
      </x:c>
    </x:row>
    <x:row r="9">
      <x:c r="A9" s="20" t="str">
        <x:v>测试中明显站立不稳或需保护</x:v>
      </x:c>
      <x:c r="B9" s="20" t="str">
        <x:v>标记安全风险</x:v>
      </x:c>
      <x:c r="C9" s="20" t="str">
        <x:v>测试过程中存在安全风险，应由专业人员进一步评估。</x:v>
      </x:c>
    </x:row>
    <x:row r="10">
      <x:c r="A10" s="20" t="str">
        <x:v>设备采集质量异常</x:v>
      </x:c>
      <x:c r="B10" s="20" t="str">
        <x:v>不直接扣分，建议复测</x:v>
      </x:c>
      <x:c r="C10" s="20" t="str">
        <x:v>本次数据质量不足，建议按标准流程复测。</x:v>
      </x:c>
    </x:row>
    <x:row r="13">
      <x:c r="A13" s="13" t="str">
        <x:v>输出层级</x:v>
      </x:c>
      <x:c r="B13" s="13" t="str">
        <x:v>建议展示内容</x:v>
      </x:c>
    </x:row>
    <x:row r="14">
      <x:c r="A14" s="20" t="str">
        <x:v>综合分</x:v>
      </x:c>
      <x:c r="B14" s="20" t="str">
        <x:v>老年活动能力综合评分：XX/100</x:v>
      </x:c>
    </x:row>
    <x:row r="15">
      <x:c r="A15" s="20" t="str">
        <x:v>四维画像</x:v>
      </x:c>
      <x:c r="B15" s="20" t="str">
        <x:v>握力能力、起坐能力、平衡能力、步态能力</x:v>
      </x:c>
    </x:row>
    <x:row r="16">
      <x:c r="A16" s="20" t="str">
        <x:v>风险标签</x:v>
      </x:c>
      <x:c r="B16" s="20" t="str">
        <x:v>肌少症相关肌力下降风险、衰弱风险、跌倒风险、活动能力下降风险</x:v>
      </x:c>
    </x:row>
    <x:row r="17">
      <x:c r="A17" s="20" t="str">
        <x:v>重点短板</x:v>
      </x:c>
      <x:c r="B17" s="20" t="str">
        <x:v>例如：下肢力量不足、平衡控制下降、步态稳定性不足</x:v>
      </x:c>
    </x:row>
    <x:row r="18">
      <x:c r="A18" s="20" t="str">
        <x:v>建议</x:v>
      </x:c>
      <x:c r="B18" s="20" t="str">
        <x:v>复测、转诊、运动干预、营养评估、居家防跌倒建议等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48" hidden="0" customWidth="1"/>
    <x:col min="5" max="5" width="10" hidden="0" customWidth="1"/>
    <x:col min="6" max="6" width="20" hidden="0" customWidth="1"/>
  </x:cols>
  <x:sheetData>
    <x:row r="1" ht="28" customHeight="1">
      <x:c r="A1" s="36" t="str">
        <x:v>设备增强指标与四类报告来源</x:v>
      </x:c>
      <x:c r="B1" s="36"/>
      <x:c r="C1" s="36"/>
      <x:c r="D1" s="36"/>
      <x:c r="E1" s="36"/>
      <x:c r="F1" s="36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3">
      <x:c r="A3" s="13" t="str">
        <x:v>报告模块</x:v>
      </x:c>
      <x:c r="B3" s="13" t="str">
        <x:v>增强指标</x:v>
      </x:c>
      <x:c r="C3" s="13" t="str">
        <x:v>报告来源/图形</x:v>
      </x:c>
      <x:c r="D3" s="13" t="str">
        <x:v>建议评分依据</x:v>
      </x:c>
      <x:c r="E3" s="13" t="str">
        <x:v>分值</x:v>
      </x:c>
      <x:c r="F3" s="13" t="str">
        <x:v>合规定位</x:v>
      </x:c>
    </x:row>
    <x:row r="4">
      <x:c r="A4" s="20" t="str">
        <x:v>握力评估</x:v>
      </x:c>
      <x:c r="B4" s="20" t="str">
        <x:v>手指贡献均衡性</x:v>
      </x:c>
      <x:c r="C4" s="20" t="str">
        <x:v>手部压力分布、各指贡献</x:v>
      </x:c>
      <x:c r="D4" s="20" t="str">
        <x:v>贡献结构是否极端失衡、是否出现明显代偿</x:v>
      </x:c>
      <x:c r="E4" s="20" t="str">
        <x:v>0–2</x:v>
      </x:c>
      <x:c r="F4" s="20" t="str">
        <x:v>辅助功能解释</x:v>
      </x:c>
    </x:row>
    <x:row r="5">
      <x:c r="A5" s="20" t="str">
        <x:v>握力评估</x:v>
      </x:c>
      <x:c r="B5" s="20" t="str">
        <x:v>抓握稳定性</x:v>
      </x:c>
      <x:c r="C5" s="20" t="str">
        <x:v>力-时间曲线</x:v>
      </x:c>
      <x:c r="D5" s="20" t="str">
        <x:v>曲线是否平稳、是否早衰减、是否持续维持困难</x:v>
      </x:c>
      <x:c r="E5" s="20" t="str">
        <x:v>0–3</x:v>
      </x:c>
      <x:c r="F5" s="20" t="str">
        <x:v>辅助功能解释</x:v>
      </x:c>
    </x:row>
    <x:row r="6">
      <x:c r="A6" s="20" t="str">
        <x:v>握力评估</x:v>
      </x:c>
      <x:c r="B6" s="20" t="str">
        <x:v>左右手差异</x:v>
      </x:c>
      <x:c r="C6" s="20" t="str">
        <x:v>左右压力/握力对比</x:v>
      </x:c>
      <x:c r="D6" s="20" t="str">
        <x:v>双手差异是否显著</x:v>
      </x:c>
      <x:c r="E6" s="20" t="str">
        <x:v>0–2</x:v>
      </x:c>
      <x:c r="F6" s="20" t="str">
        <x:v>提示偏侧功能差异</x:v>
      </x:c>
    </x:row>
    <x:row r="7">
      <x:c r="A7" s="20" t="str">
        <x:v>起坐评估</x:v>
      </x:c>
      <x:c r="B7" s="20" t="str">
        <x:v>周期稳定性</x:v>
      </x:c>
      <x:c r="C7" s="20" t="str">
        <x:v>五次起坐周期分析</x:v>
      </x:c>
      <x:c r="D7" s="20" t="str">
        <x:v>每次耗时是否稳定，是否逐次变慢</x:v>
      </x:c>
      <x:c r="E7" s="20" t="str">
        <x:v>0–2</x:v>
      </x:c>
      <x:c r="F7" s="20" t="str">
        <x:v>辅助功能解释</x:v>
      </x:c>
    </x:row>
    <x:row r="8">
      <x:c r="A8" s="20" t="str">
        <x:v>起坐评估</x:v>
      </x:c>
      <x:c r="B8" s="20" t="str">
        <x:v>左右负重对称性</x:v>
      </x:c>
      <x:c r="C8" s="20" t="str">
        <x:v>左右压力分布/对称性</x:v>
      </x:c>
      <x:c r="D8" s="20" t="str">
        <x:v>起坐过程中是否明显偏向一侧</x:v>
      </x:c>
      <x:c r="E8" s="20" t="str">
        <x:v>0–2</x:v>
      </x:c>
      <x:c r="F8" s="20" t="str">
        <x:v>提示代偿</x:v>
      </x:c>
    </x:row>
    <x:row r="9">
      <x:c r="A9" s="20" t="str">
        <x:v>起坐评估</x:v>
      </x:c>
      <x:c r="B9" s="20" t="str">
        <x:v>压力变化曲线</x:v>
      </x:c>
      <x:c r="C9" s="20" t="str">
        <x:v>坐站力-时间曲线</x:v>
      </x:c>
      <x:c r="D9" s="20" t="str">
        <x:v>启动是否迟缓、曲线是否平滑、是否代偿明显</x:v>
      </x:c>
      <x:c r="E9" s="20" t="str">
        <x:v>0–2</x:v>
      </x:c>
      <x:c r="F9" s="20" t="str">
        <x:v>动态过程解释</x:v>
      </x:c>
    </x:row>
    <x:row r="10">
      <x:c r="A10" s="20" t="str">
        <x:v>起坐评估</x:v>
      </x:c>
      <x:c r="B10" s="20" t="str">
        <x:v>重心转移/COP</x:v>
      </x:c>
      <x:c r="C10" s="20" t="str">
        <x:v>坐姿/起坐COP轨迹</x:v>
      </x:c>
      <x:c r="D10" s="20" t="str">
        <x:v>重心是否晃动、偏移</x:v>
      </x:c>
      <x:c r="E10" s="20" t="str">
        <x:v>0–1</x:v>
      </x:c>
      <x:c r="F10" s="20" t="str">
        <x:v>辅助平衡解释</x:v>
      </x:c>
    </x:row>
    <x:row r="11">
      <x:c r="A11" s="20" t="str">
        <x:v>静态站立</x:v>
      </x:c>
      <x:c r="B11" s="20" t="str">
        <x:v>足底压力分区</x:v>
      </x:c>
      <x:c r="C11" s="20" t="str">
        <x:v>足底压力热图/分区图</x:v>
      </x:c>
      <x:c r="D11" s="20" t="str">
        <x:v>前足/中足/后足压力是否异常集中</x:v>
      </x:c>
      <x:c r="E11" s="20" t="str">
        <x:v>0–2</x:v>
      </x:c>
      <x:c r="F11" s="20" t="str">
        <x:v>辅助姿势解释</x:v>
      </x:c>
    </x:row>
    <x:row r="12">
      <x:c r="A12" s="20" t="str">
        <x:v>静态站立</x:v>
      </x:c>
      <x:c r="B12" s="20" t="str">
        <x:v>足弓/足型压力特征</x:v>
      </x:c>
      <x:c r="C12" s="20" t="str">
        <x:v>足弓指数/足型分区</x:v>
      </x:c>
      <x:c r="D12" s="20" t="str">
        <x:v>扁平足、高弓足等压力模式提示</x:v>
      </x:c>
      <x:c r="E12" s="20" t="str">
        <x:v>0–1</x:v>
      </x:c>
      <x:c r="F12" s="20" t="str">
        <x:v>辅助说明</x:v>
      </x:c>
    </x:row>
    <x:row r="13">
      <x:c r="A13" s="20" t="str">
        <x:v>静态站立</x:v>
      </x:c>
      <x:c r="B13" s="20" t="str">
        <x:v>COP轨迹形态</x:v>
      </x:c>
      <x:c r="C13" s="20" t="str">
        <x:v>COP压力中心轨迹</x:v>
      </x:c>
      <x:c r="D13" s="20" t="str">
        <x:v>是否漂移、扩散、偏侧聚集</x:v>
      </x:c>
      <x:c r="E13" s="20" t="str">
        <x:v>0–2</x:v>
      </x:c>
      <x:c r="F13" s="20" t="str">
        <x:v>姿势控制解释</x:v>
      </x:c>
    </x:row>
    <x:row r="14">
      <x:c r="A14" s="20" t="str">
        <x:v>静态站立</x:v>
      </x:c>
      <x:c r="B14" s="20" t="str">
        <x:v>AP/ML稳定性</x:v>
      </x:c>
      <x:c r="C14" s="20" t="str">
        <x:v>COP速度/方向摆动</x:v>
      </x:c>
      <x:c r="D14" s="20" t="str">
        <x:v>前后/内外侧晃动是否异常</x:v>
      </x:c>
      <x:c r="E14" s="20" t="str">
        <x:v>0–2</x:v>
      </x:c>
      <x:c r="F14" s="20" t="str">
        <x:v>姿势控制解释</x:v>
      </x:c>
    </x:row>
    <x:row r="15">
      <x:c r="A15" s="20" t="str">
        <x:v>步态评估</x:v>
      </x:c>
      <x:c r="B15" s="20" t="str">
        <x:v>步长/步宽合理性</x:v>
      </x:c>
      <x:c r="C15" s="20" t="str">
        <x:v>步态时空参数</x:v>
      </x:c>
      <x:c r="D15" s="20" t="str">
        <x:v>步长过短、步宽过宽、代偿明显</x:v>
      </x:c>
      <x:c r="E15" s="20" t="str">
        <x:v>0–2</x:v>
      </x:c>
      <x:c r="F15" s="20" t="str">
        <x:v>步态解释</x:v>
      </x:c>
    </x:row>
    <x:row r="16">
      <x:c r="A16" s="20" t="str">
        <x:v>步态评估</x:v>
      </x:c>
      <x:c r="B16" s="20" t="str">
        <x:v>双支撑期占比</x:v>
      </x:c>
      <x:c r="C16" s="20" t="str">
        <x:v>支撑期/摆动期参数</x:v>
      </x:c>
      <x:c r="D16" s="20" t="str">
        <x:v>双支撑期延长提示谨慎或不稳步态</x:v>
      </x:c>
      <x:c r="E16" s="20" t="str">
        <x:v>0–2</x:v>
      </x:c>
      <x:c r="F16" s="20" t="str">
        <x:v>跌倒相关特征</x:v>
      </x:c>
    </x:row>
    <x:row r="17">
      <x:c r="A17" s="20" t="str">
        <x:v>步态评估</x:v>
      </x:c>
      <x:c r="B17" s="20" t="str">
        <x:v>足偏角FPA</x:v>
      </x:c>
      <x:c r="C17" s="20" t="str">
        <x:v>足偏角分析</x:v>
      </x:c>
      <x:c r="D17" s="20" t="str">
        <x:v>明显内外八或左右差异</x:v>
      </x:c>
      <x:c r="E17" s="20" t="str">
        <x:v>0–1</x:v>
      </x:c>
      <x:c r="F17" s="20" t="str">
        <x:v>辅助步态解释</x:v>
      </x:c>
    </x:row>
    <x:row r="18">
      <x:c r="A18" s="20" t="str">
        <x:v>步态评估</x:v>
      </x:c>
      <x:c r="B18" s="20" t="str">
        <x:v>左右步态对称性</x:v>
      </x:c>
      <x:c r="C18" s="20" t="str">
        <x:v>左右步长/支撑/压力对比</x:v>
      </x:c>
      <x:c r="D18" s="20" t="str">
        <x:v>左右差异是否明显</x:v>
      </x:c>
      <x:c r="E18" s="20" t="str">
        <x:v>0–1</x:v>
      </x:c>
      <x:c r="F18" s="20" t="str">
        <x:v>辅助步态解释</x:v>
      </x:c>
    </x:row>
    <x:row r="19">
      <x:c r="A19" s="20" t="str">
        <x:v>步态评估</x:v>
      </x:c>
      <x:c r="B19" s="20" t="str">
        <x:v>足底动态压力分布</x:v>
      </x:c>
      <x:c r="C19" s="20" t="str">
        <x:v>动态足印/分区压力</x:v>
      </x:c>
      <x:c r="D19" s="20" t="str">
        <x:v>着地、过渡、蹬伸压力模式是否合理</x:v>
      </x:c>
      <x:c r="E19" s="20" t="str">
        <x:v>0–1</x:v>
      </x:c>
      <x:c r="F19" s="20" t="str">
        <x:v>辅助步态解释</x:v>
      </x:c>
    </x:row>
  </x:sheetData>
  <x:mergeCells>
    <x:mergeCell ref="A1:F1"/>
  </x:mergeCells>
  <x:pageMargins left="0.7" right="0.7" top="0.75" bottom="0.75" header="0.3" footer="0.3"/>
</x:worksheet>
</file>